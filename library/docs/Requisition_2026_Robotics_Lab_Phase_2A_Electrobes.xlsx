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/d/yyyy"/>
    <numFmt numFmtId="165" formatCode="_-\£* #,##0.00_-;&quot;-£&quot;* #,##0.00_-;_-\£* \-??_-;_-@"/>
    <numFmt numFmtId="166" formatCode="_(* #,##0_);_(* \(#,##0\);_(* \-??_);_(@_)"/>
    <numFmt numFmtId="167" formatCode="_(* #,##0.00_);_(* \(#,##0.00\);_(* \-??_);_(@_)"/>
  </numFmts>
  <fonts count="14">
    <font>
      <name val="Calibri"/>
      <color theme="1"/>
      <sz val="11"/>
      <scheme val="minor"/>
    </font>
    <font>
      <name val="Georgia"/>
      <b val="1"/>
      <i val="1"/>
      <color rgb="FF000000"/>
      <sz val="16"/>
    </font>
    <font/>
    <font>
      <name val="Georgia"/>
      <i val="1"/>
      <color rgb="FF000000"/>
      <sz val="12"/>
    </font>
    <font>
      <name val="Georgia"/>
      <color theme="1"/>
    </font>
    <font>
      <name val="Georgia"/>
      <b val="1"/>
      <color rgb="FF000000"/>
      <sz val="10"/>
    </font>
    <font>
      <name val="Georgia"/>
      <color rgb="FF000000"/>
      <sz val="10"/>
    </font>
    <font>
      <name val="Georgia"/>
      <b val="1"/>
      <color rgb="FFF2F2F2"/>
      <sz val="10"/>
    </font>
    <font>
      <name val="Georgia"/>
      <color theme="1"/>
      <sz val="11"/>
    </font>
    <font>
      <name val="Calibri"/>
      <color theme="1"/>
      <sz val="11"/>
    </font>
    <font>
      <name val="Georgia"/>
      <b val="1"/>
      <color rgb="FF000000"/>
      <sz val="14"/>
    </font>
    <font>
      <name val="Georgia"/>
      <color rgb="FF000000"/>
      <sz val="11"/>
    </font>
    <font>
      <name val="Georgia"/>
      <color theme="1"/>
      <sz val="10"/>
    </font>
    <font>
      <name val="Georgia"/>
      <color theme="1"/>
      <sz val="14"/>
    </font>
  </fonts>
  <fills count="5">
    <fill>
      <patternFill/>
    </fill>
    <fill>
      <patternFill patternType="lightGray"/>
    </fill>
    <fill>
      <patternFill patternType="solid">
        <fgColor rgb="FF009999"/>
        <bgColor rgb="FF0099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5" fontId="7" fillId="2" borderId="4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166" fontId="8" fillId="0" borderId="4" applyAlignment="1" pivotButton="0" quotePrefix="0" xfId="0">
      <alignment horizontal="left" vertical="bottom" wrapText="1"/>
    </xf>
    <xf numFmtId="0" fontId="8" fillId="0" borderId="1" applyAlignment="1" pivotButton="0" quotePrefix="0" xfId="0">
      <alignment vertical="bottom" wrapText="1"/>
    </xf>
    <xf numFmtId="167" fontId="8" fillId="3" borderId="4" applyAlignment="1" pivotButton="0" quotePrefix="0" xfId="0">
      <alignment vertical="bottom" wrapText="1"/>
    </xf>
    <xf numFmtId="167" fontId="8" fillId="3" borderId="4" applyAlignment="1" pivotButton="0" quotePrefix="0" xfId="0">
      <alignment vertical="bottom" wrapText="1"/>
    </xf>
    <xf numFmtId="0" fontId="8" fillId="0" borderId="4" applyAlignment="1" pivotButton="0" quotePrefix="0" xfId="0">
      <alignment horizontal="center" vertical="bottom" wrapText="1"/>
    </xf>
    <xf numFmtId="166" fontId="9" fillId="3" borderId="4" applyAlignment="1" pivotButton="0" quotePrefix="0" xfId="0">
      <alignment vertical="bottom" wrapText="1"/>
    </xf>
    <xf numFmtId="166" fontId="8" fillId="3" borderId="4" applyAlignment="1" pivotButton="0" quotePrefix="0" xfId="0">
      <alignment vertical="bottom" wrapText="1"/>
    </xf>
    <xf numFmtId="0" fontId="9" fillId="0" borderId="0" applyAlignment="1" pivotButton="0" quotePrefix="0" xfId="0">
      <alignment vertical="bottom" wrapText="1"/>
    </xf>
    <xf numFmtId="0" fontId="8" fillId="0" borderId="1" applyAlignment="1" pivotButton="0" quotePrefix="0" xfId="0">
      <alignment vertical="bottom" wrapText="1"/>
    </xf>
    <xf numFmtId="167" fontId="8" fillId="4" borderId="4" applyAlignment="1" pivotButton="0" quotePrefix="0" xfId="0">
      <alignment vertical="bottom" wrapText="1"/>
    </xf>
    <xf numFmtId="166" fontId="8" fillId="4" borderId="4" applyAlignment="1" pivotButton="0" quotePrefix="0" xfId="0">
      <alignment vertical="bottom" wrapText="1"/>
    </xf>
    <xf numFmtId="0" fontId="8" fillId="0" borderId="1" applyAlignment="1" pivotButton="0" quotePrefix="0" xfId="0">
      <alignment horizontal="left" vertical="bottom" wrapText="1"/>
    </xf>
    <xf numFmtId="167" fontId="8" fillId="4" borderId="4" applyAlignment="1" pivotButton="0" quotePrefix="0" xfId="0">
      <alignment vertical="bottom" wrapText="1"/>
    </xf>
    <xf numFmtId="167" fontId="10" fillId="0" borderId="1" applyAlignment="1" pivotButton="0" quotePrefix="0" xfId="0">
      <alignment horizontal="center" vertical="bottom" wrapText="1"/>
    </xf>
    <xf numFmtId="166" fontId="10" fillId="0" borderId="1" applyAlignment="1" pivotButton="0" quotePrefix="0" xfId="0">
      <alignment horizontal="center" vertical="bottom" wrapText="1"/>
    </xf>
    <xf numFmtId="165" fontId="6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11" fillId="0" borderId="5" applyAlignment="1" pivotButton="0" quotePrefix="0" xfId="0">
      <alignment horizontal="center" wrapText="1"/>
    </xf>
    <xf numFmtId="0" fontId="2" fillId="0" borderId="5" pivotButton="0" quotePrefix="0" xfId="0"/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6" applyAlignment="1" pivotButton="0" quotePrefix="0" xfId="0">
      <alignment horizontal="center" vertical="top" wrapText="1"/>
    </xf>
    <xf numFmtId="0" fontId="2" fillId="0" borderId="6" pivotButton="0" quotePrefix="0" xfId="0"/>
    <xf numFmtId="0" fontId="11" fillId="0" borderId="6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167" fontId="12" fillId="0" borderId="0" applyAlignment="1" pivotButton="0" quotePrefix="0" xfId="0">
      <alignment horizontal="center" vertical="center" wrapText="1"/>
    </xf>
    <xf numFmtId="167" fontId="12" fillId="4" borderId="7" applyAlignment="1" pivotButton="0" quotePrefix="0" xfId="0">
      <alignment horizontal="left" vertical="center" wrapText="1"/>
    </xf>
    <xf numFmtId="0" fontId="2" fillId="0" borderId="8" pivotButton="0" quotePrefix="0" xfId="0"/>
    <xf numFmtId="0" fontId="2" fillId="0" borderId="9" pivotButton="0" quotePrefix="0" xfId="0"/>
    <xf numFmtId="167" fontId="12" fillId="4" borderId="10" applyAlignment="1" pivotButton="0" quotePrefix="0" xfId="0">
      <alignment horizontal="center" vertical="center" wrapText="1"/>
    </xf>
    <xf numFmtId="167" fontId="12" fillId="4" borderId="10" applyAlignment="1" pivotButton="0" quotePrefix="0" xfId="0">
      <alignment horizontal="left" vertical="center" wrapText="1"/>
    </xf>
    <xf numFmtId="167" fontId="12" fillId="4" borderId="0" applyAlignment="1" pivotButton="0" quotePrefix="0" xfId="0">
      <alignment horizontal="left" vertical="center" wrapText="1"/>
    </xf>
    <xf numFmtId="167" fontId="10" fillId="0" borderId="0" applyAlignment="1" pivotButton="0" quotePrefix="0" xfId="0">
      <alignment horizontal="center" wrapText="1"/>
    </xf>
    <xf numFmtId="166" fontId="10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4" applyAlignment="1" pivotButton="0" quotePrefix="0" xfId="0">
      <alignment horizontal="left" vertical="center" wrapText="1"/>
    </xf>
    <xf numFmtId="49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vertical="center" wrapText="1"/>
    </xf>
    <xf numFmtId="0" fontId="5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vertical="bottom" wrapText="1"/>
    </xf>
    <xf numFmtId="167" fontId="10" fillId="0" borderId="4" applyAlignment="1" pivotButton="0" quotePrefix="0" xfId="0">
      <alignment horizontal="center" vertical="bottom" wrapText="1"/>
    </xf>
    <xf numFmtId="166" fontId="10" fillId="0" borderId="4" applyAlignment="1" pivotButton="0" quotePrefix="0" xfId="0">
      <alignment horizontal="center" vertical="bottom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38100</rowOff>
    </from>
    <ext cx="2343150" cy="723900"/>
    <pic>
      <nvPicPr>
        <cNvPr id="0" name="image1.jpg" descr="Maarif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lectrobes.com/product/photosensitive-resistor-ldr-light-sensor-module-with-digital-analog-output/" TargetMode="External" Id="rId1"/><Relationship Type="http://schemas.openxmlformats.org/officeDocument/2006/relationships/hyperlink" Target="https://electrobes.com/product/pulse-sensor-heart-beats-rate-sensing-module/" TargetMode="External" Id="rId2"/><Relationship Type="http://schemas.openxmlformats.org/officeDocument/2006/relationships/hyperlink" Target="https://electrobes.com/product/lm393-sound-detection-sensor-module/" TargetMode="External" Id="rId3"/><Relationship Type="http://schemas.openxmlformats.org/officeDocument/2006/relationships/hyperlink" Target="https://electrobes.com/?post_type=product&amp;s=flame+sensor" TargetMode="External" Id="rId4"/><Relationship Type="http://schemas.openxmlformats.org/officeDocument/2006/relationships/hyperlink" Target="https://electrobes.com/product/4x4-16-key-matrix-membrane-switch-keypad-keyboard/" TargetMode="External" Id="rId5"/><Relationship Type="http://schemas.openxmlformats.org/officeDocument/2006/relationships/hyperlink" Target="https://electrobes.com/product/1-channel-relay-module-10a/" TargetMode="External" Id="rId6"/><Relationship Type="http://schemas.openxmlformats.org/officeDocument/2006/relationships/hyperlink" Target="https://electrobes.com/product/4-channel-relay-module-10a/" TargetMode="External" Id="rId7"/><Relationship Type="http://schemas.openxmlformats.org/officeDocument/2006/relationships/hyperlink" Target="https://electrobes.com/?post_type=product&amp;s=sg90" TargetMode="External" Id="rId8"/><Relationship Type="http://schemas.openxmlformats.org/officeDocument/2006/relationships/hyperlink" Target="https://electrobes.com/?post_type=product&amp;s=mg996r" TargetMode="External" Id="rId9"/><Relationship Type="http://schemas.openxmlformats.org/officeDocument/2006/relationships/hyperlink" Target="https://electrobes.com/product/3v-6v-dc-mini-coin-vibration-motor-miniature-micro-vibrator/" TargetMode="External" Id="rId10"/><Relationship Type="http://schemas.openxmlformats.org/officeDocument/2006/relationships/hyperlink" Target="https://electrobes.com/product/esp32-cam-mb-programming-adapter-board-ch340-serial-to-usb-for-esp32-cam-module/" TargetMode="External" Id="rId11"/><Relationship Type="http://schemas.openxmlformats.org/officeDocument/2006/relationships/hyperlink" Target="https://electrobes.com/?post_type=product&amp;s=nrf24l01" TargetMode="External" Id="rId12"/><Relationship Type="http://schemas.openxmlformats.org/officeDocument/2006/relationships/hyperlink" Target="https://electrobes.com/?post_type=product&amp;s=micro+usb+cable" TargetMode="External" Id="rId13"/><Relationship Type="http://schemas.openxmlformats.org/officeDocument/2006/relationships/hyperlink" Target="https://electrobes.com/product/1-2v-1500mah-aa-rechargeable-ni-mh-battery-cell/" TargetMode="External" Id="rId14"/><Relationship Type="http://schemas.openxmlformats.org/officeDocument/2006/relationships/hyperlink" Target="https://electrobes.com/product/toshiba-9v-battery-for-toys-and-diy-projects/" TargetMode="External" Id="rId15"/><Relationship Type="http://schemas.openxmlformats.org/officeDocument/2006/relationships/hyperlink" Target="https://electrobes.com/product/dc-9v-battery-snap-connector/" TargetMode="External" Id="rId16"/><Relationship Type="http://schemas.openxmlformats.org/officeDocument/2006/relationships/hyperlink" Target="https://electrobes.com/product/3-7v-2500mah-rechargeable-18650-li-ion-battery-cell-new/" TargetMode="External" Id="rId17"/><Relationship Type="http://schemas.openxmlformats.org/officeDocument/2006/relationships/hyperlink" Target="https://electrobes.com/product/1s-3-7v-18650-battery-case-cell-holder-single-cell-for-rechargeable-li-ion-battery-storage-with-spring/" TargetMode="External" Id="rId18"/><Relationship Type="http://schemas.openxmlformats.org/officeDocument/2006/relationships/hyperlink" Target="https://electrobes.com/product/tp4056-c-type-usb-port-1a-18650-lithium-battery-charging-board-charger-module/" TargetMode="External" Id="rId19"/><Relationship Type="http://schemas.openxmlformats.org/officeDocument/2006/relationships/hyperlink" Target="https://electrobes.com/product/universal-double-slots-li-ion-battery-charger-for-18650-cells-3-7v-rechargeable-lithium-ion-batteries/" TargetMode="External" Id="rId20"/><Relationship Type="http://schemas.openxmlformats.org/officeDocument/2006/relationships/hyperlink" Target="https://electrobes.com/product/6v-1w-mini-solar-panel-for-lipo-battery-charging/" TargetMode="External" Id="rId21"/><Relationship Type="http://schemas.openxmlformats.org/officeDocument/2006/relationships/hyperlink" Target="https://electrobes.com/product/3v-cr2032-coin-cell/" TargetMode="External" Id="rId22"/><Relationship Type="http://schemas.openxmlformats.org/officeDocument/2006/relationships/hyperlink" Target="https://electrobes.com/product/cr2025-cr2032-coin-cell-battery-holder/" TargetMode="External" Id="rId23"/><Relationship Type="http://schemas.openxmlformats.org/officeDocument/2006/relationships/hyperlink" Target="https://electrobes.com/?post_type=product&amp;s=5v+2a+adapter" TargetMode="External" Id="rId24"/><Relationship Type="http://schemas.openxmlformats.org/officeDocument/2006/relationships/hyperlink" Target="https://electrobes.com/product/5mm-4-pin-rgb-led/" TargetMode="External" Id="rId25"/><Relationship Type="http://schemas.openxmlformats.org/officeDocument/2006/relationships/hyperlink" Target="https://electrobes.com/product/10k-ohm-rotary-potentiometer-variable-resistor/" TargetMode="External" Id="rId26"/><Relationship Type="http://schemas.openxmlformats.org/officeDocument/2006/relationships/hyperlink" Target="https://electrobes.com/product/12x12x12mm-momentary-tactile-4-pins-pushbutton-switch/" TargetMode="External" Id="rId27"/><Relationship Type="http://schemas.openxmlformats.org/officeDocument/2006/relationships/hyperlink" Target="https://electrobes.com/product/single-state-slide-switch/" TargetMode="External" Id="rId28"/><Relationship Type="http://schemas.openxmlformats.org/officeDocument/2006/relationships/hyperlink" Target="https://electrobes.com/product/5v-active-piezo-buzzer/" TargetMode="External" Id="rId29"/><Relationship Type="http://schemas.openxmlformats.org/officeDocument/2006/relationships/hyperlink" Target="https://electrobes.com/product/555-timer-ic/" TargetMode="External" Id="rId30"/><Relationship Type="http://schemas.openxmlformats.org/officeDocument/2006/relationships/hyperlink" Target="https://electrobes.com/product/10uf-50v-electrolytic-capacitor/" TargetMode="External" Id="rId31"/><Relationship Type="http://schemas.openxmlformats.org/officeDocument/2006/relationships/hyperlink" Target="https://electrobes.com/product/100uf-25v-electrolytic-capacitor/" TargetMode="External" Id="rId32"/><Relationship Type="http://schemas.openxmlformats.org/officeDocument/2006/relationships/hyperlink" Target="https://electrobes.com/product/103-10nf-0-01uf-ceramic-disc-capacitor/" TargetMode="External" Id="rId33"/><Relationship Type="http://schemas.openxmlformats.org/officeDocument/2006/relationships/hyperlink" Target="https://electrobes.com/?post_type=product&amp;s=male+header" TargetMode="External" Id="rId34"/><Relationship Type="http://schemas.openxmlformats.org/officeDocument/2006/relationships/hyperlink" Target="https://electrobes.com/product/dt-830d-mini-pocket-digital-multimeter/" TargetMode="External" Id="rId35"/><Relationship Type="http://schemas.openxmlformats.org/officeDocument/2006/relationships/hyperlink" Target="https://electrobes.com/?post_type=product&amp;s=solder+wire" TargetMode="External" Id="rId36"/><Relationship Type="http://schemas.openxmlformats.org/officeDocument/2006/relationships/hyperlink" Target="https://electrobes.com/?post_type=product&amp;s=desoldering+pump" TargetMode="External" Id="rId37"/><Relationship Type="http://schemas.openxmlformats.org/officeDocument/2006/relationships/hyperlink" Target="https://electrobes.com/?post_type=product&amp;s=helping+hand" TargetMode="External" Id="rId38"/><Relationship Type="http://schemas.openxmlformats.org/officeDocument/2006/relationships/hyperlink" Target="https://electrobes.com/?post_type=product&amp;s=plier" TargetMode="External" Id="rId39"/><Relationship Type="http://schemas.openxmlformats.org/officeDocument/2006/relationships/hyperlink" Target="https://electrobes.com/?post_type=product&amp;s=tweezers" TargetMode="External" Id="rId40"/><Relationship Type="http://schemas.openxmlformats.org/officeDocument/2006/relationships/hyperlink" Target="https://electrobes.com/?post_type=product&amp;s=goggles" TargetMode="External" Id="rId41"/><Relationship Type="http://schemas.openxmlformats.org/officeDocument/2006/relationships/hyperlink" Target="https://electrobes.com/?post_type=product&amp;s=heat+shrink" TargetMode="External" Id="rId42"/><Relationship Type="http://schemas.openxmlformats.org/officeDocument/2006/relationships/hyperlink" Target="https://electrobes.com/?post_type=product&amp;s=tape" TargetMode="External" Id="rId43"/><Relationship Type="http://schemas.openxmlformats.org/officeDocument/2006/relationships/hyperlink" Target="https://electrobes.com/?post_type=product&amp;s=copper+tape" TargetMode="External" Id="rId44"/><Relationship Type="http://schemas.openxmlformats.org/officeDocument/2006/relationships/hyperlink" Target="https://electrobes.com/product/exyz-pla-1-75mm-3d-printer-filament-1kg-roll/" TargetMode="External" Id="rId45"/><Relationship Type="http://schemas.openxmlformats.org/officeDocument/2006/relationships/hyperlink" Target="https://electrobes.com/product/18-grids-portable-tool-electronic-component-storage-box/" TargetMode="External" Id="rId46"/><Relationship Type="http://schemas.openxmlformats.org/officeDocument/2006/relationships/hyperlink" Target="https://electrobes.com/product/tni-u-tu-093s-60w-temperature-adjustable-soldering-iron/" TargetMode="External" Id="rId47"/><Relationship Type="http://schemas.openxmlformats.org/officeDocument/2006/relationships/hyperlink" Target="https://electrobes.com/product/cutting-edge-lead-free-replacement-high-quality-soldering-iron-tip-solder-iron-bit-for-60w-soldering-iron/" TargetMode="External" Id="rId48"/><Relationship Type="http://schemas.openxmlformats.org/officeDocument/2006/relationships/hyperlink" Target="https://electrobes.com/product/soldering-tip-cleaner/" TargetMode="External" Id="rId49"/><Relationship Type="http://schemas.openxmlformats.org/officeDocument/2006/relationships/hyperlink" Target="https://electrobes.com/?post_type=product&amp;s=soldering+iron+stand" TargetMode="External" Id="rId50"/><Relationship Type="http://schemas.openxmlformats.org/officeDocument/2006/relationships/drawing" Target="/xl/drawings/drawing1.xml" Id="rId5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74"/>
  <sheetViews>
    <sheetView workbookViewId="0">
      <selection activeCell="A1" sqref="A1"/>
    </sheetView>
  </sheetViews>
  <sheetFormatPr baseColWidth="8" defaultColWidth="14.43" defaultRowHeight="15" customHeight="1"/>
  <cols>
    <col width="8.57" customWidth="1" style="59" min="1" max="1"/>
    <col width="6" customWidth="1" style="59" min="2" max="5"/>
    <col width="25" customWidth="1" style="59" min="6" max="6"/>
    <col width="9" customWidth="1" style="59" min="7" max="7"/>
    <col width="10.71" customWidth="1" style="59" min="8" max="8"/>
    <col width="12" customWidth="1" style="59" min="9" max="9"/>
    <col width="11.57" customWidth="1" style="59" min="10" max="10"/>
    <col width="15" customWidth="1" style="59" min="11" max="11"/>
    <col width="8.710000000000001" customWidth="1" style="59" min="12" max="27"/>
  </cols>
  <sheetData>
    <row r="1" ht="64.5" customHeight="1" s="59">
      <c r="A1" s="60" t="inlineStr">
        <is>
          <t>Purchase Requisition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  <c r="L1" s="4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>
      <c r="A2" s="63" t="inlineStr">
        <is>
          <t>PR No.</t>
        </is>
      </c>
      <c r="B2" s="61" t="n"/>
      <c r="C2" s="62" t="n"/>
      <c r="D2" s="64" t="n"/>
      <c r="E2" s="61" t="n"/>
      <c r="F2" s="62" t="n"/>
      <c r="G2" s="63" t="inlineStr">
        <is>
          <t>Date</t>
        </is>
      </c>
      <c r="H2" s="62" t="n"/>
      <c r="I2" s="65" t="inlineStr">
        <is>
          <t>05-10-2026</t>
        </is>
      </c>
      <c r="J2" s="61" t="n"/>
      <c r="K2" s="62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26.25" customHeight="1" s="59">
      <c r="A3" s="66" t="inlineStr">
        <is>
          <t xml:space="preserve">Requesting department </t>
        </is>
      </c>
      <c r="B3" s="61" t="n"/>
      <c r="C3" s="62" t="n"/>
      <c r="D3" s="65" t="inlineStr">
        <is>
          <t>BTEC Program (Level 3)</t>
        </is>
      </c>
      <c r="E3" s="61" t="n"/>
      <c r="F3" s="62" t="n"/>
      <c r="G3" s="63" t="inlineStr">
        <is>
          <t>Contact Details:</t>
        </is>
      </c>
      <c r="H3" s="62" t="n"/>
      <c r="I3" s="67" t="n"/>
      <c r="J3" s="61" t="n"/>
      <c r="K3" s="62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30.75" customHeight="1" s="59">
      <c r="A4" s="63" t="inlineStr">
        <is>
          <t>Expected delivery date</t>
        </is>
      </c>
      <c r="B4" s="61" t="n"/>
      <c r="C4" s="62" t="n"/>
      <c r="D4" s="68" t="inlineStr">
        <is>
          <t>26-10-2026</t>
        </is>
      </c>
      <c r="E4" s="61" t="n"/>
      <c r="F4" s="62" t="n"/>
      <c r="G4" s="63" t="inlineStr">
        <is>
          <t>Delivery location</t>
        </is>
      </c>
      <c r="H4" s="62" t="n"/>
      <c r="I4" s="65" t="inlineStr">
        <is>
          <t>Pak Turk Maarif Boys
 Chak Shahzad Campus</t>
        </is>
      </c>
      <c r="J4" s="61" t="n"/>
      <c r="K4" s="62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30" customHeight="1" s="59">
      <c r="A5" s="63" t="inlineStr">
        <is>
          <t>Purpose</t>
        </is>
      </c>
      <c r="B5" s="61" t="n"/>
      <c r="C5" s="62" t="n"/>
      <c r="D5" s="65" t="inlineStr">
        <is>
          <t>Robotics &amp; AI Club - Phase 2A Components (Electrobes)</t>
        </is>
      </c>
      <c r="E5" s="61" t="n"/>
      <c r="F5" s="62" t="n"/>
      <c r="G5" s="63" t="inlineStr">
        <is>
          <t>Contact person for delivery</t>
        </is>
      </c>
      <c r="H5" s="62" t="n"/>
      <c r="I5" s="65" t="inlineStr">
        <is>
          <t>Qasim Mushtaq</t>
        </is>
      </c>
      <c r="J5" s="61" t="n"/>
      <c r="K5" s="62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25.5" customHeight="1" s="59">
      <c r="A6" s="13" t="inlineStr">
        <is>
          <t>S No.</t>
        </is>
      </c>
      <c r="B6" s="15" t="inlineStr">
        <is>
          <t>Description of Items</t>
        </is>
      </c>
      <c r="C6" s="61" t="n"/>
      <c r="D6" s="61" t="n"/>
      <c r="E6" s="62" t="n"/>
      <c r="F6" s="15" t="inlineStr">
        <is>
          <t>Specifications</t>
        </is>
      </c>
      <c r="G6" s="15" t="inlineStr">
        <is>
          <t>Unit</t>
        </is>
      </c>
      <c r="H6" s="15" t="inlineStr">
        <is>
          <t>Quantity 
required</t>
        </is>
      </c>
      <c r="I6" s="16" t="inlineStr">
        <is>
          <t>Estimated unit price</t>
        </is>
      </c>
      <c r="J6" s="16" t="inlineStr">
        <is>
          <t>Estimated 
value (Rs.)</t>
        </is>
      </c>
      <c r="K6" s="16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</row>
    <row r="7" ht="30" customHeight="1" s="59">
      <c r="A7" s="18" t="n">
        <v>1</v>
      </c>
      <c r="B7" s="69" t="inlineStr">
        <is>
          <t>LDR Light Sensor Module</t>
        </is>
      </c>
      <c r="C7" s="61" t="n"/>
      <c r="D7" s="61" t="n"/>
      <c r="E7" s="62" t="n"/>
      <c r="F7" s="21" t="inlineStr">
        <is>
          <t>Photoresistor module, digital + analog output</t>
        </is>
      </c>
      <c r="G7" s="21" t="inlineStr">
        <is>
          <t>Nos.</t>
        </is>
      </c>
      <c r="H7" s="22" t="n">
        <v>10</v>
      </c>
      <c r="I7" s="23" t="n">
        <v>120</v>
      </c>
      <c r="J7" s="24">
        <f>H7*I7</f>
        <v/>
      </c>
      <c r="K7" s="24" t="inlineStr">
        <is>
          <t>Electrobes (listed price)</t>
        </is>
      </c>
    </row>
    <row r="8" ht="30" customHeight="1" s="59">
      <c r="A8" s="18" t="n">
        <v>2</v>
      </c>
      <c r="B8" s="69" t="inlineStr">
        <is>
          <t>Pulse / Heart-Rate Sensor</t>
        </is>
      </c>
      <c r="C8" s="61" t="n"/>
      <c r="D8" s="61" t="n"/>
      <c r="E8" s="62" t="n"/>
      <c r="F8" s="21" t="inlineStr">
        <is>
          <t>Optical pulse sensor module</t>
        </is>
      </c>
      <c r="G8" s="21" t="inlineStr">
        <is>
          <t>Nos.</t>
        </is>
      </c>
      <c r="H8" s="22" t="n">
        <v>5</v>
      </c>
      <c r="I8" s="23" t="n">
        <v>400</v>
      </c>
      <c r="J8" s="24">
        <f>H8*I8</f>
        <v/>
      </c>
      <c r="K8" s="24" t="inlineStr">
        <is>
          <t>Electrobes (listed price)</t>
        </is>
      </c>
    </row>
    <row r="9" ht="30" customHeight="1" s="59">
      <c r="A9" s="18" t="n">
        <v>3</v>
      </c>
      <c r="B9" s="69" t="inlineStr">
        <is>
          <t>Sound Detection Sensor</t>
        </is>
      </c>
      <c r="C9" s="61" t="n"/>
      <c r="D9" s="61" t="n"/>
      <c r="E9" s="62" t="n"/>
      <c r="F9" s="21" t="inlineStr">
        <is>
          <t>KY-038 / LM393 microphone module</t>
        </is>
      </c>
      <c r="G9" s="21" t="inlineStr">
        <is>
          <t>Nos.</t>
        </is>
      </c>
      <c r="H9" s="22" t="n">
        <v>5</v>
      </c>
      <c r="I9" s="23" t="n">
        <v>130</v>
      </c>
      <c r="J9" s="24">
        <f>H9*I9</f>
        <v/>
      </c>
      <c r="K9" s="24" t="inlineStr">
        <is>
          <t>Electrobes (listed price)</t>
        </is>
      </c>
    </row>
    <row r="10" ht="30" customHeight="1" s="59">
      <c r="A10" s="18" t="n">
        <v>4</v>
      </c>
      <c r="B10" s="69" t="inlineStr">
        <is>
          <t>Flame Sensor Module (additional)</t>
        </is>
      </c>
      <c r="C10" s="61" t="n"/>
      <c r="D10" s="61" t="n"/>
      <c r="E10" s="62" t="n"/>
      <c r="F10" s="21" t="inlineStr">
        <is>
          <t>IR flame detector, LM393 (Phase 1 had 5)</t>
        </is>
      </c>
      <c r="G10" s="21" t="inlineStr">
        <is>
          <t>Nos.</t>
        </is>
      </c>
      <c r="H10" s="22" t="n">
        <v>10</v>
      </c>
      <c r="I10" s="23" t="n">
        <v>140</v>
      </c>
      <c r="J10" s="24">
        <f>H10*I10</f>
        <v/>
      </c>
      <c r="K10" s="24" t="inlineStr">
        <is>
          <t>Electrobes (listed price)</t>
        </is>
      </c>
    </row>
    <row r="11" ht="30" customHeight="1" s="59">
      <c r="A11" s="18" t="n">
        <v>5</v>
      </c>
      <c r="B11" s="69" t="inlineStr">
        <is>
          <t>4x4 Matrix Membrane Keypad</t>
        </is>
      </c>
      <c r="C11" s="61" t="n"/>
      <c r="D11" s="61" t="n"/>
      <c r="E11" s="62" t="n"/>
      <c r="F11" s="21" t="inlineStr">
        <is>
          <t>16-key, for smart door lock</t>
        </is>
      </c>
      <c r="G11" s="21" t="inlineStr">
        <is>
          <t>Nos.</t>
        </is>
      </c>
      <c r="H11" s="22" t="n">
        <v>5</v>
      </c>
      <c r="I11" s="23" t="n">
        <v>150</v>
      </c>
      <c r="J11" s="24">
        <f>H11*I11</f>
        <v/>
      </c>
      <c r="K11" s="24" t="inlineStr">
        <is>
          <t>Electrobes (listed price)</t>
        </is>
      </c>
    </row>
    <row r="12" ht="30" customHeight="1" s="59">
      <c r="A12" s="18" t="n">
        <v>6</v>
      </c>
      <c r="B12" s="69" t="inlineStr">
        <is>
          <t>Relay Module (1-Channel)</t>
        </is>
      </c>
      <c r="C12" s="61" t="n"/>
      <c r="D12" s="61" t="n"/>
      <c r="E12" s="62" t="n"/>
      <c r="F12" s="21" t="inlineStr">
        <is>
          <t>5 V, 10 A</t>
        </is>
      </c>
      <c r="G12" s="21" t="inlineStr">
        <is>
          <t>Nos.</t>
        </is>
      </c>
      <c r="H12" s="22" t="n">
        <v>10</v>
      </c>
      <c r="I12" s="23" t="n">
        <v>160</v>
      </c>
      <c r="J12" s="24">
        <f>H12*I12</f>
        <v/>
      </c>
      <c r="K12" s="24" t="inlineStr">
        <is>
          <t>Electrobes (listed price)</t>
        </is>
      </c>
    </row>
    <row r="13" ht="30" customHeight="1" s="59">
      <c r="A13" s="18" t="n">
        <v>7</v>
      </c>
      <c r="B13" s="69" t="inlineStr">
        <is>
          <t>Relay Module (4-Channel)</t>
        </is>
      </c>
      <c r="C13" s="61" t="n"/>
      <c r="D13" s="61" t="n"/>
      <c r="E13" s="62" t="n"/>
      <c r="F13" s="21" t="inlineStr">
        <is>
          <t>5 V, 10 A (smart home project)</t>
        </is>
      </c>
      <c r="G13" s="21" t="inlineStr">
        <is>
          <t>Nos.</t>
        </is>
      </c>
      <c r="H13" s="22" t="n">
        <v>2</v>
      </c>
      <c r="I13" s="23" t="n">
        <v>390</v>
      </c>
      <c r="J13" s="24">
        <f>H13*I13</f>
        <v/>
      </c>
      <c r="K13" s="24" t="inlineStr">
        <is>
          <t>Electrobes (listed price)</t>
        </is>
      </c>
    </row>
    <row r="14" ht="44" customHeight="1" s="59">
      <c r="A14" s="18" t="n">
        <v>8</v>
      </c>
      <c r="B14" s="69" t="inlineStr">
        <is>
          <t>Micro Servo Motor (additional)</t>
        </is>
      </c>
      <c r="C14" s="61" t="n"/>
      <c r="D14" s="61" t="n"/>
      <c r="E14" s="62" t="n"/>
      <c r="F14" s="21" t="inlineStr">
        <is>
          <t>TowerPro SG90, 180 degree (Phase 1 had 5; robot arm needs 3 per group)</t>
        </is>
      </c>
      <c r="G14" s="21" t="inlineStr">
        <is>
          <t>Nos.</t>
        </is>
      </c>
      <c r="H14" s="22" t="n">
        <v>20</v>
      </c>
      <c r="I14" s="23" t="n">
        <v>300</v>
      </c>
      <c r="J14" s="24">
        <f>H14*I14</f>
        <v/>
      </c>
      <c r="K14" s="24" t="inlineStr">
        <is>
          <t>Electrobes (listed price)</t>
        </is>
      </c>
    </row>
    <row r="15" ht="30" customHeight="1" s="59">
      <c r="A15" s="18" t="n">
        <v>9</v>
      </c>
      <c r="B15" s="69" t="inlineStr">
        <is>
          <t>Metal Gear Servo Motor</t>
        </is>
      </c>
      <c r="C15" s="61" t="n"/>
      <c r="D15" s="61" t="n"/>
      <c r="E15" s="62" t="n"/>
      <c r="F15" s="21" t="inlineStr">
        <is>
          <t>MG996R, 180 degree (MG995 replacement, robotic arm)</t>
        </is>
      </c>
      <c r="G15" s="21" t="inlineStr">
        <is>
          <t>Nos.</t>
        </is>
      </c>
      <c r="H15" s="22" t="n">
        <v>3</v>
      </c>
      <c r="I15" s="23" t="n">
        <v>900</v>
      </c>
      <c r="J15" s="24">
        <f>H15*I15</f>
        <v/>
      </c>
      <c r="K15" s="24" t="inlineStr">
        <is>
          <t>Electrobes (listed price)</t>
        </is>
      </c>
    </row>
    <row r="16" ht="16" customHeight="1" s="59">
      <c r="A16" s="18" t="n">
        <v>10</v>
      </c>
      <c r="B16" s="69" t="inlineStr">
        <is>
          <t>Coin Vibration Motor</t>
        </is>
      </c>
      <c r="C16" s="61" t="n"/>
      <c r="D16" s="61" t="n"/>
      <c r="E16" s="62" t="n"/>
      <c r="F16" s="21" t="inlineStr">
        <is>
          <t>3-6 V mini (brush bots)</t>
        </is>
      </c>
      <c r="G16" s="21" t="inlineStr">
        <is>
          <t>Nos.</t>
        </is>
      </c>
      <c r="H16" s="22" t="n">
        <v>10</v>
      </c>
      <c r="I16" s="23" t="n">
        <v>100</v>
      </c>
      <c r="J16" s="24">
        <f>H16*I16</f>
        <v/>
      </c>
      <c r="K16" s="24" t="inlineStr">
        <is>
          <t>Electrobes (listed price)</t>
        </is>
      </c>
    </row>
    <row r="17" ht="44" customHeight="1" s="59">
      <c r="A17" s="18" t="n">
        <v>11</v>
      </c>
      <c r="B17" s="69" t="inlineStr">
        <is>
          <t>ESP32-CAM Programmer Board</t>
        </is>
      </c>
      <c r="C17" s="61" t="n"/>
      <c r="D17" s="61" t="n"/>
      <c r="E17" s="62" t="n"/>
      <c r="F17" s="21" t="inlineStr">
        <is>
          <t>ESP32-CAM-MB, CH340 USB (needed to program Phase 1 ESP-CAMs)</t>
        </is>
      </c>
      <c r="G17" s="21" t="inlineStr">
        <is>
          <t>Nos.</t>
        </is>
      </c>
      <c r="H17" s="22" t="n">
        <v>5</v>
      </c>
      <c r="I17" s="23" t="n">
        <v>300</v>
      </c>
      <c r="J17" s="24">
        <f>H17*I17</f>
        <v/>
      </c>
      <c r="K17" s="24" t="inlineStr">
        <is>
          <t>Electrobes (listed price)</t>
        </is>
      </c>
    </row>
    <row r="18" ht="44" customHeight="1" s="59">
      <c r="A18" s="18" t="n">
        <v>12</v>
      </c>
      <c r="B18" s="69" t="inlineStr">
        <is>
          <t>NRF24L01 Adapter Board</t>
        </is>
      </c>
      <c r="C18" s="61" t="n"/>
      <c r="D18" s="61" t="n"/>
      <c r="E18" s="62" t="n"/>
      <c r="F18" s="21" t="inlineStr">
        <is>
          <t>Breakout with on-board 3.3 V regulator (for Phase 1 NRF24L01)</t>
        </is>
      </c>
      <c r="G18" s="21" t="inlineStr">
        <is>
          <t>Nos.</t>
        </is>
      </c>
      <c r="H18" s="22" t="n">
        <v>5</v>
      </c>
      <c r="I18" s="23" t="n">
        <v>150</v>
      </c>
      <c r="J18" s="24">
        <f>H18*I18</f>
        <v/>
      </c>
      <c r="K18" s="24" t="inlineStr">
        <is>
          <t>Electrobes (listed price)</t>
        </is>
      </c>
    </row>
    <row r="19" ht="44" customHeight="1" s="59">
      <c r="A19" s="18" t="n">
        <v>13</v>
      </c>
      <c r="B19" s="69" t="inlineStr">
        <is>
          <t>Micro-USB Data Cable</t>
        </is>
      </c>
      <c r="C19" s="61" t="n"/>
      <c r="D19" s="61" t="n"/>
      <c r="E19" s="62" t="n"/>
      <c r="F19" s="21" t="inlineStr">
        <is>
          <t>USB-A to Micro-B programming cable (for ESP32 DevKit)</t>
        </is>
      </c>
      <c r="G19" s="21" t="inlineStr">
        <is>
          <t>Nos.</t>
        </is>
      </c>
      <c r="H19" s="22" t="n">
        <v>10</v>
      </c>
      <c r="I19" s="23" t="n">
        <v>100</v>
      </c>
      <c r="J19" s="24">
        <f>H19*I19</f>
        <v/>
      </c>
      <c r="K19" s="24" t="inlineStr">
        <is>
          <t>Electrobes (listed price)</t>
        </is>
      </c>
    </row>
    <row r="20" ht="30" customHeight="1" s="59">
      <c r="A20" s="18" t="n">
        <v>14</v>
      </c>
      <c r="B20" s="69" t="inlineStr">
        <is>
          <t>Rechargeable AA Batteries</t>
        </is>
      </c>
      <c r="C20" s="61" t="n"/>
      <c r="D20" s="61" t="n"/>
      <c r="E20" s="62" t="n"/>
      <c r="F20" s="21" t="inlineStr">
        <is>
          <t>1.2 V Ni-MH cells</t>
        </is>
      </c>
      <c r="G20" s="21" t="inlineStr">
        <is>
          <t>Nos.</t>
        </is>
      </c>
      <c r="H20" s="22" t="n">
        <v>12</v>
      </c>
      <c r="I20" s="23" t="n">
        <v>350</v>
      </c>
      <c r="J20" s="24">
        <f>H20*I20</f>
        <v/>
      </c>
      <c r="K20" s="24" t="inlineStr">
        <is>
          <t>Electrobes (listed price)</t>
        </is>
      </c>
    </row>
    <row r="21" ht="16" customHeight="1" s="59">
      <c r="A21" s="18" t="n">
        <v>15</v>
      </c>
      <c r="B21" s="69" t="inlineStr">
        <is>
          <t>9 V Battery</t>
        </is>
      </c>
      <c r="C21" s="61" t="n"/>
      <c r="D21" s="61" t="n"/>
      <c r="E21" s="62" t="n"/>
      <c r="F21" s="21" t="inlineStr">
        <is>
          <t>Toshiba 9 V</t>
        </is>
      </c>
      <c r="G21" s="21" t="inlineStr">
        <is>
          <t>Nos.</t>
        </is>
      </c>
      <c r="H21" s="22" t="n">
        <v>10</v>
      </c>
      <c r="I21" s="23" t="n">
        <v>130</v>
      </c>
      <c r="J21" s="24">
        <f>H21*I21</f>
        <v/>
      </c>
      <c r="K21" s="24" t="inlineStr">
        <is>
          <t>Electrobes (listed price)</t>
        </is>
      </c>
    </row>
    <row r="22" ht="30" customHeight="1" s="59">
      <c r="A22" s="18" t="n">
        <v>16</v>
      </c>
      <c r="B22" s="69" t="inlineStr">
        <is>
          <t>9 V Battery Snap Connector</t>
        </is>
      </c>
      <c r="C22" s="61" t="n"/>
      <c r="D22" s="61" t="n"/>
      <c r="E22" s="62" t="n"/>
      <c r="F22" s="21" t="inlineStr">
        <is>
          <t>With leads</t>
        </is>
      </c>
      <c r="G22" s="21" t="inlineStr">
        <is>
          <t>Nos.</t>
        </is>
      </c>
      <c r="H22" s="22" t="n">
        <v>10</v>
      </c>
      <c r="I22" s="23" t="n">
        <v>20</v>
      </c>
      <c r="J22" s="24">
        <f>H22*I22</f>
        <v/>
      </c>
      <c r="K22" s="24" t="inlineStr">
        <is>
          <t>Electrobes (listed price)</t>
        </is>
      </c>
    </row>
    <row r="23" ht="30" customHeight="1" s="59">
      <c r="A23" s="18" t="n">
        <v>17</v>
      </c>
      <c r="B23" s="69" t="inlineStr">
        <is>
          <t>18650 Li-ion Cell</t>
        </is>
      </c>
      <c r="C23" s="61" t="n"/>
      <c r="D23" s="61" t="n"/>
      <c r="E23" s="62" t="n"/>
      <c r="F23" s="21" t="inlineStr">
        <is>
          <t>3.7 V, 2500 mAh (2 per robot car)</t>
        </is>
      </c>
      <c r="G23" s="21" t="inlineStr">
        <is>
          <t>Nos.</t>
        </is>
      </c>
      <c r="H23" s="22" t="n">
        <v>10</v>
      </c>
      <c r="I23" s="23" t="n">
        <v>500</v>
      </c>
      <c r="J23" s="24">
        <f>H23*I23</f>
        <v/>
      </c>
      <c r="K23" s="24" t="inlineStr">
        <is>
          <t>Electrobes (listed price)</t>
        </is>
      </c>
    </row>
    <row r="24" ht="16" customHeight="1" s="59">
      <c r="A24" s="18" t="n">
        <v>18</v>
      </c>
      <c r="B24" s="69" t="inlineStr">
        <is>
          <t>18650 Battery Holder</t>
        </is>
      </c>
      <c r="C24" s="61" t="n"/>
      <c r="D24" s="61" t="n"/>
      <c r="E24" s="62" t="n"/>
      <c r="F24" s="21" t="inlineStr">
        <is>
          <t>Single cell</t>
        </is>
      </c>
      <c r="G24" s="21" t="inlineStr">
        <is>
          <t>Nos.</t>
        </is>
      </c>
      <c r="H24" s="22" t="n">
        <v>5</v>
      </c>
      <c r="I24" s="23" t="n">
        <v>45</v>
      </c>
      <c r="J24" s="24">
        <f>H24*I24</f>
        <v/>
      </c>
      <c r="K24" s="24" t="inlineStr">
        <is>
          <t>Electrobes (listed price)</t>
        </is>
      </c>
    </row>
    <row r="25" ht="16" customHeight="1" s="59">
      <c r="A25" s="18" t="n">
        <v>19</v>
      </c>
      <c r="B25" s="69" t="inlineStr">
        <is>
          <t>Li-ion Charger Module</t>
        </is>
      </c>
      <c r="C25" s="61" t="n"/>
      <c r="D25" s="61" t="n"/>
      <c r="E25" s="62" t="n"/>
      <c r="F25" s="21" t="inlineStr">
        <is>
          <t>TP4056, Type-C</t>
        </is>
      </c>
      <c r="G25" s="21" t="inlineStr">
        <is>
          <t>Nos.</t>
        </is>
      </c>
      <c r="H25" s="22" t="n">
        <v>5</v>
      </c>
      <c r="I25" s="23" t="n">
        <v>50</v>
      </c>
      <c r="J25" s="24">
        <f>H25*I25</f>
        <v/>
      </c>
      <c r="K25" s="24" t="inlineStr">
        <is>
          <t>Electrobes (listed price)</t>
        </is>
      </c>
    </row>
    <row r="26" ht="30" customHeight="1" s="59">
      <c r="A26" s="18" t="n">
        <v>20</v>
      </c>
      <c r="B26" s="69" t="inlineStr">
        <is>
          <t>Li-ion Cell Charger</t>
        </is>
      </c>
      <c r="C26" s="61" t="n"/>
      <c r="D26" s="61" t="n"/>
      <c r="E26" s="62" t="n"/>
      <c r="F26" s="21" t="inlineStr">
        <is>
          <t>2-slot wall charger for 18650 cells, auto cut-off</t>
        </is>
      </c>
      <c r="G26" s="21" t="inlineStr">
        <is>
          <t>Nos.</t>
        </is>
      </c>
      <c r="H26" s="22" t="n">
        <v>3</v>
      </c>
      <c r="I26" s="23" t="n">
        <v>400</v>
      </c>
      <c r="J26" s="24">
        <f>H26*I26</f>
        <v/>
      </c>
      <c r="K26" s="24" t="inlineStr">
        <is>
          <t>Electrobes (listed price)</t>
        </is>
      </c>
    </row>
    <row r="27" ht="16" customHeight="1" s="59">
      <c r="A27" s="18" t="n">
        <v>21</v>
      </c>
      <c r="B27" s="69" t="inlineStr">
        <is>
          <t>Mini Solar Panel</t>
        </is>
      </c>
      <c r="C27" s="61" t="n"/>
      <c r="D27" s="61" t="n"/>
      <c r="E27" s="62" t="n"/>
      <c r="F27" s="21" t="inlineStr">
        <is>
          <t>6 V, 1 W</t>
        </is>
      </c>
      <c r="G27" s="21" t="inlineStr">
        <is>
          <t>Nos.</t>
        </is>
      </c>
      <c r="H27" s="22" t="n">
        <v>5</v>
      </c>
      <c r="I27" s="23" t="n">
        <v>380</v>
      </c>
      <c r="J27" s="24">
        <f>H27*I27</f>
        <v/>
      </c>
      <c r="K27" s="24" t="inlineStr">
        <is>
          <t>Electrobes (listed price)</t>
        </is>
      </c>
    </row>
    <row r="28" ht="16" customHeight="1" s="59">
      <c r="A28" s="18" t="n">
        <v>22</v>
      </c>
      <c r="B28" s="69" t="inlineStr">
        <is>
          <t>Coin Cell Battery</t>
        </is>
      </c>
      <c r="C28" s="61" t="n"/>
      <c r="D28" s="61" t="n"/>
      <c r="E28" s="62" t="n"/>
      <c r="F28" s="21" t="inlineStr">
        <is>
          <t>CR2032, 3 V</t>
        </is>
      </c>
      <c r="G28" s="21" t="inlineStr">
        <is>
          <t>Nos.</t>
        </is>
      </c>
      <c r="H28" s="22" t="n">
        <v>20</v>
      </c>
      <c r="I28" s="23" t="n">
        <v>35</v>
      </c>
      <c r="J28" s="24">
        <f>H28*I28</f>
        <v/>
      </c>
      <c r="K28" s="24" t="inlineStr">
        <is>
          <t>Electrobes (listed price)</t>
        </is>
      </c>
    </row>
    <row r="29" ht="16" customHeight="1" s="59">
      <c r="A29" s="18" t="n">
        <v>23</v>
      </c>
      <c r="B29" s="69" t="inlineStr">
        <is>
          <t>Coin Cell Holder</t>
        </is>
      </c>
      <c r="C29" s="61" t="n"/>
      <c r="D29" s="61" t="n"/>
      <c r="E29" s="62" t="n"/>
      <c r="F29" s="21" t="inlineStr">
        <is>
          <t>CR2032</t>
        </is>
      </c>
      <c r="G29" s="21" t="inlineStr">
        <is>
          <t>Nos.</t>
        </is>
      </c>
      <c r="H29" s="22" t="n">
        <v>20</v>
      </c>
      <c r="I29" s="23" t="n">
        <v>30</v>
      </c>
      <c r="J29" s="24">
        <f>H29*I29</f>
        <v/>
      </c>
      <c r="K29" s="24" t="inlineStr">
        <is>
          <t>Electrobes (listed price)</t>
        </is>
      </c>
    </row>
    <row r="30" ht="30" customHeight="1" s="59">
      <c r="A30" s="18" t="n">
        <v>24</v>
      </c>
      <c r="B30" s="69" t="inlineStr">
        <is>
          <t>5 V 2 A Power Adapter</t>
        </is>
      </c>
      <c r="C30" s="61" t="n"/>
      <c r="D30" s="61" t="n"/>
      <c r="E30" s="62" t="n"/>
      <c r="F30" s="21" t="inlineStr">
        <is>
          <t>SMPS wall adapter (project power without laptops)</t>
        </is>
      </c>
      <c r="G30" s="21" t="inlineStr">
        <is>
          <t>Nos.</t>
        </is>
      </c>
      <c r="H30" s="22" t="n">
        <v>5</v>
      </c>
      <c r="I30" s="23" t="n">
        <v>250</v>
      </c>
      <c r="J30" s="24">
        <f>H30*I30</f>
        <v/>
      </c>
      <c r="K30" s="24" t="inlineStr">
        <is>
          <t>Electrobes (listed price)</t>
        </is>
      </c>
    </row>
    <row r="31" ht="30" customHeight="1" s="59">
      <c r="A31" s="18" t="n">
        <v>25</v>
      </c>
      <c r="B31" s="69" t="inlineStr">
        <is>
          <t>RGB LED</t>
        </is>
      </c>
      <c r="C31" s="61" t="n"/>
      <c r="D31" s="61" t="n"/>
      <c r="E31" s="62" t="n"/>
      <c r="F31" s="21" t="inlineStr">
        <is>
          <t>5 mm, 4-pin, common cathode</t>
        </is>
      </c>
      <c r="G31" s="21" t="inlineStr">
        <is>
          <t>Nos.</t>
        </is>
      </c>
      <c r="H31" s="22" t="n">
        <v>10</v>
      </c>
      <c r="I31" s="23" t="n">
        <v>20</v>
      </c>
      <c r="J31" s="24">
        <f>H31*I31</f>
        <v/>
      </c>
      <c r="K31" s="24" t="inlineStr">
        <is>
          <t>Electrobes (listed price)</t>
        </is>
      </c>
    </row>
    <row r="32" ht="16" customHeight="1" s="59">
      <c r="A32" s="18" t="n">
        <v>26</v>
      </c>
      <c r="B32" s="69" t="inlineStr">
        <is>
          <t>Potentiometer</t>
        </is>
      </c>
      <c r="C32" s="61" t="n"/>
      <c r="D32" s="61" t="n"/>
      <c r="E32" s="62" t="n"/>
      <c r="F32" s="21" t="inlineStr">
        <is>
          <t>10 k ohm rotary</t>
        </is>
      </c>
      <c r="G32" s="21" t="inlineStr">
        <is>
          <t>Nos.</t>
        </is>
      </c>
      <c r="H32" s="22" t="n">
        <v>10</v>
      </c>
      <c r="I32" s="23" t="n">
        <v>30</v>
      </c>
      <c r="J32" s="24">
        <f>H32*I32</f>
        <v/>
      </c>
      <c r="K32" s="24" t="inlineStr">
        <is>
          <t>Electrobes (listed price)</t>
        </is>
      </c>
    </row>
    <row r="33" ht="30" customHeight="1" s="59">
      <c r="A33" s="18" t="n">
        <v>27</v>
      </c>
      <c r="B33" s="69" t="inlineStr">
        <is>
          <t>Push Button</t>
        </is>
      </c>
      <c r="C33" s="61" t="n"/>
      <c r="D33" s="61" t="n"/>
      <c r="E33" s="62" t="n"/>
      <c r="F33" s="21" t="inlineStr">
        <is>
          <t>12 x 12 mm tactile, 4-pin</t>
        </is>
      </c>
      <c r="G33" s="21" t="inlineStr">
        <is>
          <t>Nos.</t>
        </is>
      </c>
      <c r="H33" s="22" t="n">
        <v>30</v>
      </c>
      <c r="I33" s="23" t="n">
        <v>15</v>
      </c>
      <c r="J33" s="24">
        <f>H33*I33</f>
        <v/>
      </c>
      <c r="K33" s="24" t="inlineStr">
        <is>
          <t>Electrobes (listed price)</t>
        </is>
      </c>
    </row>
    <row r="34" ht="16" customHeight="1" s="59">
      <c r="A34" s="18" t="n">
        <v>28</v>
      </c>
      <c r="B34" s="69" t="inlineStr">
        <is>
          <t>Slide Switch</t>
        </is>
      </c>
      <c r="C34" s="61" t="n"/>
      <c r="D34" s="61" t="n"/>
      <c r="E34" s="62" t="n"/>
      <c r="F34" s="21" t="inlineStr">
        <is>
          <t>SPDT mini, 3-pin</t>
        </is>
      </c>
      <c r="G34" s="21" t="inlineStr">
        <is>
          <t>Nos.</t>
        </is>
      </c>
      <c r="H34" s="22" t="n">
        <v>10</v>
      </c>
      <c r="I34" s="23" t="n">
        <v>10</v>
      </c>
      <c r="J34" s="24">
        <f>H34*I34</f>
        <v/>
      </c>
      <c r="K34" s="24" t="inlineStr">
        <is>
          <t>Electrobes (listed price)</t>
        </is>
      </c>
    </row>
    <row r="35" ht="16" customHeight="1" s="59">
      <c r="A35" s="18" t="n">
        <v>29</v>
      </c>
      <c r="B35" s="69" t="inlineStr">
        <is>
          <t>Active Buzzer</t>
        </is>
      </c>
      <c r="C35" s="61" t="n"/>
      <c r="D35" s="61" t="n"/>
      <c r="E35" s="62" t="n"/>
      <c r="F35" s="21" t="inlineStr">
        <is>
          <t>5 V</t>
        </is>
      </c>
      <c r="G35" s="21" t="inlineStr">
        <is>
          <t>Nos.</t>
        </is>
      </c>
      <c r="H35" s="22" t="n">
        <v>20</v>
      </c>
      <c r="I35" s="23" t="n">
        <v>30</v>
      </c>
      <c r="J35" s="24">
        <f>H35*I35</f>
        <v/>
      </c>
      <c r="K35" s="24" t="inlineStr">
        <is>
          <t>Electrobes (listed price)</t>
        </is>
      </c>
    </row>
    <row r="36" ht="16" customHeight="1" s="59">
      <c r="A36" s="18" t="n">
        <v>30</v>
      </c>
      <c r="B36" s="69" t="inlineStr">
        <is>
          <t>555 Timer IC</t>
        </is>
      </c>
      <c r="C36" s="61" t="n"/>
      <c r="D36" s="61" t="n"/>
      <c r="E36" s="62" t="n"/>
      <c r="F36" s="21" t="inlineStr">
        <is>
          <t>NE555</t>
        </is>
      </c>
      <c r="G36" s="21" t="inlineStr">
        <is>
          <t>Nos.</t>
        </is>
      </c>
      <c r="H36" s="22" t="n">
        <v>20</v>
      </c>
      <c r="I36" s="23" t="n">
        <v>20</v>
      </c>
      <c r="J36" s="24">
        <f>H36*I36</f>
        <v/>
      </c>
      <c r="K36" s="24" t="inlineStr">
        <is>
          <t>Electrobes (listed price)</t>
        </is>
      </c>
    </row>
    <row r="37" ht="30" customHeight="1" s="59">
      <c r="A37" s="18" t="n">
        <v>31</v>
      </c>
      <c r="B37" s="69" t="inlineStr">
        <is>
          <t>Electrolytic Capacitor 10 uF</t>
        </is>
      </c>
      <c r="C37" s="61" t="n"/>
      <c r="D37" s="61" t="n"/>
      <c r="E37" s="62" t="n"/>
      <c r="F37" s="21" t="inlineStr">
        <is>
          <t>50 V</t>
        </is>
      </c>
      <c r="G37" s="21" t="inlineStr">
        <is>
          <t>Nos.</t>
        </is>
      </c>
      <c r="H37" s="22" t="n">
        <v>20</v>
      </c>
      <c r="I37" s="23" t="n">
        <v>5</v>
      </c>
      <c r="J37" s="24">
        <f>H37*I37</f>
        <v/>
      </c>
      <c r="K37" s="24" t="inlineStr">
        <is>
          <t>Electrobes (listed price)</t>
        </is>
      </c>
    </row>
    <row r="38" ht="30" customHeight="1" s="59">
      <c r="A38" s="18" t="n">
        <v>32</v>
      </c>
      <c r="B38" s="69" t="inlineStr">
        <is>
          <t>Electrolytic Capacitor 100 uF</t>
        </is>
      </c>
      <c r="C38" s="61" t="n"/>
      <c r="D38" s="61" t="n"/>
      <c r="E38" s="62" t="n"/>
      <c r="F38" s="21" t="inlineStr">
        <is>
          <t>25 V</t>
        </is>
      </c>
      <c r="G38" s="21" t="inlineStr">
        <is>
          <t>Nos.</t>
        </is>
      </c>
      <c r="H38" s="22" t="n">
        <v>10</v>
      </c>
      <c r="I38" s="23" t="n">
        <v>10</v>
      </c>
      <c r="J38" s="24">
        <f>H38*I38</f>
        <v/>
      </c>
      <c r="K38" s="24" t="inlineStr">
        <is>
          <t>Electrobes (listed price)</t>
        </is>
      </c>
    </row>
    <row r="39" ht="30" customHeight="1" s="59">
      <c r="A39" s="18" t="n">
        <v>33</v>
      </c>
      <c r="B39" s="69" t="inlineStr">
        <is>
          <t>Ceramic Capacitor 10 nF</t>
        </is>
      </c>
      <c r="C39" s="61" t="n"/>
      <c r="D39" s="61" t="n"/>
      <c r="E39" s="62" t="n"/>
      <c r="F39" s="21" t="inlineStr">
        <is>
          <t>103 disc</t>
        </is>
      </c>
      <c r="G39" s="21" t="inlineStr">
        <is>
          <t>Nos.</t>
        </is>
      </c>
      <c r="H39" s="22" t="n">
        <v>20</v>
      </c>
      <c r="I39" s="23" t="n">
        <v>3</v>
      </c>
      <c r="J39" s="24">
        <f>H39*I39</f>
        <v/>
      </c>
      <c r="K39" s="24" t="inlineStr">
        <is>
          <t>Electrobes (listed price)</t>
        </is>
      </c>
    </row>
    <row r="40" ht="30" customHeight="1" s="59">
      <c r="A40" s="18" t="n">
        <v>34</v>
      </c>
      <c r="B40" s="69" t="inlineStr">
        <is>
          <t>Male Header Strip</t>
        </is>
      </c>
      <c r="C40" s="61" t="n"/>
      <c r="D40" s="61" t="n"/>
      <c r="E40" s="62" t="n"/>
      <c r="F40" s="21" t="inlineStr">
        <is>
          <t>2.54 mm, 40 x 1 (soldering modules)</t>
        </is>
      </c>
      <c r="G40" s="21" t="inlineStr">
        <is>
          <t>Nos.</t>
        </is>
      </c>
      <c r="H40" s="22" t="n">
        <v>20</v>
      </c>
      <c r="I40" s="23" t="n">
        <v>20</v>
      </c>
      <c r="J40" s="24">
        <f>H40*I40</f>
        <v/>
      </c>
      <c r="K40" s="24" t="inlineStr">
        <is>
          <t>Electrobes (listed price)</t>
        </is>
      </c>
    </row>
    <row r="41" ht="16" customHeight="1" s="59">
      <c r="A41" s="18" t="n">
        <v>35</v>
      </c>
      <c r="B41" s="69" t="inlineStr">
        <is>
          <t>Digital Multimeter</t>
        </is>
      </c>
      <c r="C41" s="61" t="n"/>
      <c r="D41" s="61" t="n"/>
      <c r="E41" s="62" t="n"/>
      <c r="F41" s="21" t="inlineStr">
        <is>
          <t>DT-830D pocket</t>
        </is>
      </c>
      <c r="G41" s="21" t="inlineStr">
        <is>
          <t>Nos.</t>
        </is>
      </c>
      <c r="H41" s="22" t="n">
        <v>5</v>
      </c>
      <c r="I41" s="23" t="n">
        <v>750</v>
      </c>
      <c r="J41" s="24">
        <f>H41*I41</f>
        <v/>
      </c>
      <c r="K41" s="24" t="inlineStr">
        <is>
          <t>Electrobes (listed price, out of stock when checked)</t>
        </is>
      </c>
    </row>
    <row r="42" ht="16" customHeight="1" s="59">
      <c r="A42" s="18" t="n">
        <v>36</v>
      </c>
      <c r="B42" s="69" t="inlineStr">
        <is>
          <t>Solder Wire</t>
        </is>
      </c>
      <c r="C42" s="61" t="n"/>
      <c r="D42" s="61" t="n"/>
      <c r="E42" s="62" t="n"/>
      <c r="F42" s="21" t="inlineStr">
        <is>
          <t>60/40, 0.8 mm, 50 g</t>
        </is>
      </c>
      <c r="G42" s="21" t="inlineStr">
        <is>
          <t>Nos.</t>
        </is>
      </c>
      <c r="H42" s="22" t="n">
        <v>3</v>
      </c>
      <c r="I42" s="23" t="n">
        <v>250</v>
      </c>
      <c r="J42" s="24">
        <f>H42*I42</f>
        <v/>
      </c>
      <c r="K42" s="24" t="inlineStr">
        <is>
          <t>Electrobes (listed price)</t>
        </is>
      </c>
    </row>
    <row r="43" ht="16" customHeight="1" s="59">
      <c r="A43" s="18" t="n">
        <v>37</v>
      </c>
      <c r="B43" s="69" t="inlineStr">
        <is>
          <t>Desoldering Pump</t>
        </is>
      </c>
      <c r="C43" s="61" t="n"/>
      <c r="D43" s="61" t="n"/>
      <c r="E43" s="62" t="n"/>
      <c r="F43" s="21" t="inlineStr">
        <is>
          <t>Solder sucker</t>
        </is>
      </c>
      <c r="G43" s="21" t="inlineStr">
        <is>
          <t>Nos.</t>
        </is>
      </c>
      <c r="H43" s="22" t="n">
        <v>2</v>
      </c>
      <c r="I43" s="23" t="n">
        <v>250</v>
      </c>
      <c r="J43" s="24">
        <f>H43*I43</f>
        <v/>
      </c>
      <c r="K43" s="24" t="inlineStr">
        <is>
          <t>Electrobes (listed price)</t>
        </is>
      </c>
    </row>
    <row r="44" ht="30" customHeight="1" s="59">
      <c r="A44" s="18" t="n">
        <v>38</v>
      </c>
      <c r="B44" s="69" t="inlineStr">
        <is>
          <t>Helping Hand with Magnifier</t>
        </is>
      </c>
      <c r="C44" s="61" t="n"/>
      <c r="D44" s="61" t="n"/>
      <c r="E44" s="62" t="n"/>
      <c r="F44" s="21" t="inlineStr">
        <is>
          <t>Third-hand stand, magnifying glass + LED</t>
        </is>
      </c>
      <c r="G44" s="21" t="inlineStr">
        <is>
          <t>Nos.</t>
        </is>
      </c>
      <c r="H44" s="22" t="n">
        <v>1</v>
      </c>
      <c r="I44" s="23" t="n">
        <v>1150</v>
      </c>
      <c r="J44" s="24">
        <f>H44*I44</f>
        <v/>
      </c>
      <c r="K44" s="24" t="inlineStr">
        <is>
          <t>Electrobes (listed price)</t>
        </is>
      </c>
    </row>
    <row r="45" ht="30" customHeight="1" s="59">
      <c r="A45" s="18" t="n">
        <v>39</v>
      </c>
      <c r="B45" s="69" t="inlineStr">
        <is>
          <t>Micro Nipper / Cutter</t>
        </is>
      </c>
      <c r="C45" s="61" t="n"/>
      <c r="D45" s="61" t="n"/>
      <c r="E45" s="62" t="n"/>
      <c r="F45" s="21" t="inlineStr">
        <is>
          <t>5 inch, for trimming leads and cable ties</t>
        </is>
      </c>
      <c r="G45" s="21" t="inlineStr">
        <is>
          <t>Nos.</t>
        </is>
      </c>
      <c r="H45" s="22" t="n">
        <v>2</v>
      </c>
      <c r="I45" s="23" t="n">
        <v>350</v>
      </c>
      <c r="J45" s="24">
        <f>H45*I45</f>
        <v/>
      </c>
      <c r="K45" s="24" t="inlineStr">
        <is>
          <t>Electrobes (listed price)</t>
        </is>
      </c>
    </row>
    <row r="46" ht="30" customHeight="1" s="59">
      <c r="A46" s="18" t="n">
        <v>40</v>
      </c>
      <c r="B46" s="69" t="inlineStr">
        <is>
          <t>Precision Tweezers</t>
        </is>
      </c>
      <c r="C46" s="61" t="n"/>
      <c r="D46" s="61" t="n"/>
      <c r="E46" s="62" t="n"/>
      <c r="F46" s="21" t="inlineStr">
        <is>
          <t>Professional, extra strength</t>
        </is>
      </c>
      <c r="G46" s="21" t="inlineStr">
        <is>
          <t>Nos.</t>
        </is>
      </c>
      <c r="H46" s="22" t="n">
        <v>2</v>
      </c>
      <c r="I46" s="23" t="n">
        <v>250</v>
      </c>
      <c r="J46" s="24">
        <f>H46*I46</f>
        <v/>
      </c>
      <c r="K46" s="24" t="inlineStr">
        <is>
          <t>Electrobes (listed price)</t>
        </is>
      </c>
    </row>
    <row r="47" ht="30" customHeight="1" s="59">
      <c r="A47" s="18" t="n">
        <v>41</v>
      </c>
      <c r="B47" s="69" t="inlineStr">
        <is>
          <t>Safety Glasses</t>
        </is>
      </c>
      <c r="C47" s="61" t="n"/>
      <c r="D47" s="61" t="n"/>
      <c r="E47" s="62" t="n"/>
      <c r="F47" s="21" t="inlineStr">
        <is>
          <t>Impact and splash protection (soldering / tools)</t>
        </is>
      </c>
      <c r="G47" s="21" t="inlineStr">
        <is>
          <t>Nos.</t>
        </is>
      </c>
      <c r="H47" s="22" t="n">
        <v>10</v>
      </c>
      <c r="I47" s="23" t="n">
        <v>150</v>
      </c>
      <c r="J47" s="24">
        <f>H47*I47</f>
        <v/>
      </c>
      <c r="K47" s="24" t="inlineStr">
        <is>
          <t>Electrobes (listed price)</t>
        </is>
      </c>
    </row>
    <row r="48" ht="30" customHeight="1" s="59">
      <c r="A48" s="18" t="n">
        <v>42</v>
      </c>
      <c r="B48" s="69" t="inlineStr">
        <is>
          <t>Heat Shrink Sleeves</t>
        </is>
      </c>
      <c r="C48" s="61" t="n"/>
      <c r="D48" s="61" t="n"/>
      <c r="E48" s="62" t="n"/>
      <c r="F48" s="21" t="inlineStr">
        <is>
          <t>3 mm, 5 mm, 8 mm (2 m each)</t>
        </is>
      </c>
      <c r="G48" s="21" t="inlineStr">
        <is>
          <t>Metre</t>
        </is>
      </c>
      <c r="H48" s="22" t="n">
        <v>6</v>
      </c>
      <c r="I48" s="23" t="n">
        <v>30</v>
      </c>
      <c r="J48" s="24">
        <f>H48*I48</f>
        <v/>
      </c>
      <c r="K48" s="24" t="inlineStr">
        <is>
          <t>Electrobes (listed price)</t>
        </is>
      </c>
    </row>
    <row r="49" ht="30" customHeight="1" s="59">
      <c r="A49" s="18" t="n">
        <v>43</v>
      </c>
      <c r="B49" s="69" t="inlineStr">
        <is>
          <t>Double-Sided Foam Tape</t>
        </is>
      </c>
      <c r="C49" s="61" t="n"/>
      <c r="D49" s="61" t="n"/>
      <c r="E49" s="62" t="n"/>
      <c r="F49" s="21" t="inlineStr">
        <is>
          <t>For mounting sensors and boards</t>
        </is>
      </c>
      <c r="G49" s="21" t="inlineStr">
        <is>
          <t>Roll</t>
        </is>
      </c>
      <c r="H49" s="22" t="n">
        <v>3</v>
      </c>
      <c r="I49" s="23" t="n">
        <v>120</v>
      </c>
      <c r="J49" s="24">
        <f>H49*I49</f>
        <v/>
      </c>
      <c r="K49" s="24" t="inlineStr">
        <is>
          <t>Electrobes (listed price)</t>
        </is>
      </c>
    </row>
    <row r="50" ht="30" customHeight="1" s="59">
      <c r="A50" s="18" t="n">
        <v>44</v>
      </c>
      <c r="B50" s="69" t="inlineStr">
        <is>
          <t>Copper Foil Tape</t>
        </is>
      </c>
      <c r="C50" s="61" t="n"/>
      <c r="D50" s="61" t="n"/>
      <c r="E50" s="62" t="n"/>
      <c r="F50" s="21" t="inlineStr">
        <is>
          <t>6 mm x 30 m, conductive (paper circuits)</t>
        </is>
      </c>
      <c r="G50" s="21" t="inlineStr">
        <is>
          <t>Roll</t>
        </is>
      </c>
      <c r="H50" s="22" t="n">
        <v>1</v>
      </c>
      <c r="I50" s="23" t="n">
        <v>600</v>
      </c>
      <c r="J50" s="24">
        <f>H50*I50</f>
        <v/>
      </c>
      <c r="K50" s="24" t="inlineStr">
        <is>
          <t>Electrobes (listed price)</t>
        </is>
      </c>
    </row>
    <row r="51" ht="30" customHeight="1" s="59">
      <c r="A51" s="18" t="n">
        <v>45</v>
      </c>
      <c r="B51" s="69" t="inlineStr">
        <is>
          <t>PLA Filament</t>
        </is>
      </c>
      <c r="C51" s="61" t="n"/>
      <c r="D51" s="61" t="n"/>
      <c r="E51" s="62" t="n"/>
      <c r="F51" s="21" t="inlineStr">
        <is>
          <t>1.75 mm, 1 kg roll (for existing 3D printer)</t>
        </is>
      </c>
      <c r="G51" s="21" t="inlineStr">
        <is>
          <t>Roll</t>
        </is>
      </c>
      <c r="H51" s="22" t="n">
        <v>2</v>
      </c>
      <c r="I51" s="23" t="n">
        <v>4600</v>
      </c>
      <c r="J51" s="24">
        <f>H51*I51</f>
        <v/>
      </c>
      <c r="K51" s="24" t="inlineStr">
        <is>
          <t>Electrobes (listed price)</t>
        </is>
      </c>
    </row>
    <row r="52" ht="16" customHeight="1" s="59">
      <c r="A52" s="18" t="n">
        <v>46</v>
      </c>
      <c r="B52" s="69" t="inlineStr">
        <is>
          <t>Component Storage Box</t>
        </is>
      </c>
      <c r="C52" s="61" t="n"/>
      <c r="D52" s="61" t="n"/>
      <c r="E52" s="62" t="n"/>
      <c r="F52" s="21" t="inlineStr">
        <is>
          <t>18-grid organiser</t>
        </is>
      </c>
      <c r="G52" s="21" t="inlineStr">
        <is>
          <t>Nos.</t>
        </is>
      </c>
      <c r="H52" s="22" t="n">
        <v>10</v>
      </c>
      <c r="I52" s="23" t="n">
        <v>490</v>
      </c>
      <c r="J52" s="24">
        <f>H52*I52</f>
        <v/>
      </c>
      <c r="K52" s="24" t="inlineStr">
        <is>
          <t>Electrobes (listed price)</t>
        </is>
      </c>
    </row>
    <row r="53" ht="30" customHeight="1" s="59">
      <c r="A53" s="18" t="n">
        <v>47</v>
      </c>
      <c r="B53" s="69" t="inlineStr">
        <is>
          <t>Soldering Iron</t>
        </is>
      </c>
      <c r="C53" s="61" t="n"/>
      <c r="D53" s="61" t="n"/>
      <c r="E53" s="62" t="n"/>
      <c r="F53" s="21" t="inlineStr">
        <is>
          <t>TNI-U TU-093S, 60 W, temperature adjustable, 220 V</t>
        </is>
      </c>
      <c r="G53" s="21" t="inlineStr">
        <is>
          <t>Nos.</t>
        </is>
      </c>
      <c r="H53" s="22" t="n">
        <v>3</v>
      </c>
      <c r="I53" s="23" t="n">
        <v>1250</v>
      </c>
      <c r="J53" s="24">
        <f>H53*I53</f>
        <v/>
      </c>
      <c r="K53" s="24" t="inlineStr">
        <is>
          <t>Electrobes (listed price)</t>
        </is>
      </c>
    </row>
    <row r="54" ht="44" customHeight="1" s="59">
      <c r="A54" s="18" t="n">
        <v>48</v>
      </c>
      <c r="B54" s="69" t="inlineStr">
        <is>
          <t>Soldering Iron Tips</t>
        </is>
      </c>
      <c r="C54" s="61" t="n"/>
      <c r="D54" s="61" t="n"/>
      <c r="E54" s="62" t="n"/>
      <c r="F54" s="21" t="inlineStr">
        <is>
          <t>60 W lead-free replacement tips (2 per iron; confirm fit)</t>
        </is>
      </c>
      <c r="G54" s="21" t="inlineStr">
        <is>
          <t>Nos.</t>
        </is>
      </c>
      <c r="H54" s="22" t="n">
        <v>6</v>
      </c>
      <c r="I54" s="23" t="n">
        <v>250</v>
      </c>
      <c r="J54" s="24">
        <f>H54*I54</f>
        <v/>
      </c>
      <c r="K54" s="24" t="inlineStr">
        <is>
          <t>Electrobes (listed price)</t>
        </is>
      </c>
    </row>
    <row r="55" ht="30" customHeight="1" s="59">
      <c r="A55" s="18" t="n">
        <v>49</v>
      </c>
      <c r="B55" s="69" t="inlineStr">
        <is>
          <t>Soldering Tip Cleaner</t>
        </is>
      </c>
      <c r="C55" s="61" t="n"/>
      <c r="D55" s="61" t="n"/>
      <c r="E55" s="62" t="n"/>
      <c r="F55" s="21" t="inlineStr">
        <is>
          <t>Brass wire tip cleaner with holder</t>
        </is>
      </c>
      <c r="G55" s="21" t="inlineStr">
        <is>
          <t>Nos.</t>
        </is>
      </c>
      <c r="H55" s="22" t="n">
        <v>3</v>
      </c>
      <c r="I55" s="23" t="n">
        <v>450</v>
      </c>
      <c r="J55" s="24">
        <f>H55*I55</f>
        <v/>
      </c>
      <c r="K55" s="24" t="inlineStr">
        <is>
          <t>Electrobes (listed price)</t>
        </is>
      </c>
    </row>
    <row r="56" ht="30" customHeight="1" s="59">
      <c r="A56" s="18" t="n">
        <v>50</v>
      </c>
      <c r="B56" s="69" t="inlineStr">
        <is>
          <t>Soldering Iron Stand</t>
        </is>
      </c>
      <c r="C56" s="61" t="n"/>
      <c r="D56" s="61" t="n"/>
      <c r="E56" s="62" t="n"/>
      <c r="F56" s="21" t="inlineStr">
        <is>
          <t>Stand with spring holder (one per iron)</t>
        </is>
      </c>
      <c r="G56" s="21" t="inlineStr">
        <is>
          <t>Nos.</t>
        </is>
      </c>
      <c r="H56" s="22" t="n">
        <v>3</v>
      </c>
      <c r="I56" s="23" t="n">
        <v>280</v>
      </c>
      <c r="J56" s="24">
        <f>H56*I56</f>
        <v/>
      </c>
      <c r="K56" s="24" t="inlineStr">
        <is>
          <t>Electrobes (listed price)</t>
        </is>
      </c>
    </row>
    <row r="57" ht="15.75" customHeight="1" s="59">
      <c r="A57" s="70" t="inlineStr">
        <is>
          <t>TOTAL</t>
        </is>
      </c>
      <c r="B57" s="61" t="n"/>
      <c r="C57" s="61" t="n"/>
      <c r="D57" s="61" t="n"/>
      <c r="E57" s="61" t="n"/>
      <c r="F57" s="61" t="n"/>
      <c r="G57" s="61" t="n"/>
      <c r="H57" s="61" t="n"/>
      <c r="I57" s="62" t="n"/>
      <c r="J57" s="71">
        <f>SUM(J7:J56)</f>
        <v/>
      </c>
      <c r="K57" s="62" t="n"/>
    </row>
    <row r="58" ht="15.75" customHeight="1" s="59">
      <c r="A58" s="33" t="n"/>
      <c r="B58" s="34" t="n"/>
      <c r="C58" s="34" t="n"/>
      <c r="D58" s="34" t="n"/>
      <c r="E58" s="34" t="n"/>
      <c r="F58" s="34" t="n"/>
      <c r="G58" s="35" t="n"/>
      <c r="H58" s="35" t="n"/>
      <c r="I58" s="36" t="n"/>
      <c r="J58" s="36" t="n"/>
      <c r="K58" s="36" t="n"/>
    </row>
    <row r="59" ht="26.25" customHeight="1" s="59">
      <c r="A59" s="37" t="inlineStr">
        <is>
          <t>Requested by:</t>
        </is>
      </c>
      <c r="C59" s="37" t="n"/>
      <c r="D59" s="38" t="inlineStr">
        <is>
          <t>Qasim Mushtaq, B.Tech Level 3 Coordinator</t>
        </is>
      </c>
      <c r="E59" s="72" t="n"/>
      <c r="F59" s="72" t="n"/>
      <c r="G59" s="72" t="n"/>
      <c r="H59" s="72" t="n"/>
      <c r="I59" s="40" t="n"/>
      <c r="J59" s="41" t="n"/>
      <c r="K59" s="72" t="n"/>
    </row>
    <row r="60" ht="26.25" customHeight="1" s="59">
      <c r="A60" s="37" t="n"/>
      <c r="B60" s="37" t="n"/>
      <c r="C60" s="37" t="n"/>
      <c r="D60" s="42" t="n"/>
      <c r="E60" s="73" t="n"/>
      <c r="F60" s="73" t="n"/>
      <c r="G60" s="73" t="n"/>
      <c r="H60" s="73" t="n"/>
      <c r="I60" s="40" t="n"/>
      <c r="J60" s="40" t="inlineStr">
        <is>
          <t>Signature</t>
        </is>
      </c>
    </row>
    <row r="61" ht="26.25" customHeight="1" s="59">
      <c r="A61" s="37" t="inlineStr">
        <is>
          <t>Approved by:</t>
        </is>
      </c>
      <c r="C61" s="37" t="n"/>
      <c r="D61" s="38" t="inlineStr">
        <is>
          <t>Mr. Ali Raza , Vice Principal(Cambridge)</t>
        </is>
      </c>
      <c r="E61" s="72" t="n"/>
      <c r="F61" s="72" t="n"/>
      <c r="G61" s="72" t="n"/>
      <c r="H61" s="72" t="n"/>
      <c r="I61" s="40" t="n"/>
      <c r="J61" s="41" t="n"/>
      <c r="K61" s="72" t="n"/>
    </row>
    <row r="62" ht="26.25" customHeight="1" s="59">
      <c r="A62" s="37" t="n"/>
      <c r="B62" s="37" t="n"/>
      <c r="C62" s="37" t="n"/>
      <c r="D62" s="44" t="n"/>
      <c r="E62" s="73" t="n"/>
      <c r="F62" s="73" t="n"/>
      <c r="G62" s="73" t="n"/>
      <c r="H62" s="73" t="n"/>
      <c r="I62" s="40" t="n"/>
      <c r="J62" s="40" t="inlineStr">
        <is>
          <t>Signature</t>
        </is>
      </c>
    </row>
    <row r="63" ht="26.25" customHeight="1" s="59">
      <c r="A63" s="37" t="inlineStr">
        <is>
          <t>Approved by:</t>
        </is>
      </c>
      <c r="C63" s="37" t="n"/>
      <c r="D63" s="38" t="inlineStr">
        <is>
          <t>Miss Somia Murtaza , Principal</t>
        </is>
      </c>
      <c r="E63" s="72" t="n"/>
      <c r="F63" s="72" t="n"/>
      <c r="G63" s="72" t="n"/>
      <c r="H63" s="72" t="n"/>
      <c r="I63" s="40" t="n"/>
      <c r="J63" s="41" t="n"/>
      <c r="K63" s="72" t="n"/>
    </row>
    <row r="64" ht="15.75" customHeight="1" s="59">
      <c r="A64" s="37" t="n"/>
      <c r="B64" s="37" t="n"/>
      <c r="C64" s="37" t="n"/>
      <c r="D64" s="44" t="n"/>
      <c r="E64" s="73" t="n"/>
      <c r="F64" s="73" t="n"/>
      <c r="G64" s="73" t="n"/>
      <c r="H64" s="73" t="n"/>
      <c r="I64" s="40" t="n"/>
      <c r="J64" s="40" t="inlineStr">
        <is>
          <t>Signature</t>
        </is>
      </c>
    </row>
    <row r="65" ht="15.75" customHeight="1" s="59">
      <c r="A65" s="45" t="n"/>
      <c r="B65" s="45" t="n"/>
      <c r="C65" s="45" t="n"/>
      <c r="D65" s="35" t="n"/>
      <c r="E65" s="35" t="n"/>
      <c r="F65" s="35" t="n"/>
      <c r="G65" s="35" t="n"/>
      <c r="H65" s="35" t="n"/>
      <c r="I65" s="36" t="n"/>
      <c r="J65" s="36" t="n"/>
      <c r="K65" s="36" t="n"/>
    </row>
    <row r="66" ht="15.75" customHeight="1" s="59">
      <c r="A66" s="46" t="n"/>
      <c r="B66" s="51" t="n"/>
      <c r="E66" s="50" t="n"/>
      <c r="F66" s="50" t="n"/>
      <c r="G66" s="50" t="n"/>
      <c r="H66" s="50" t="n"/>
      <c r="I66" s="51" t="n"/>
      <c r="J66" s="51" t="n"/>
      <c r="K66" s="52" t="n"/>
    </row>
    <row r="67" ht="15.75" customHeight="1" s="59">
      <c r="A67" s="53" t="n"/>
      <c r="J67" s="54" t="n"/>
      <c r="K67" s="54" t="n"/>
    </row>
    <row r="68" ht="15.75" customHeight="1" s="59">
      <c r="A68" s="33" t="n"/>
      <c r="B68" s="34" t="n"/>
      <c r="C68" s="34" t="n"/>
      <c r="D68" s="34" t="n"/>
      <c r="E68" s="34" t="n"/>
      <c r="F68" s="34" t="n"/>
      <c r="G68" s="35" t="n"/>
      <c r="H68" s="35" t="n"/>
      <c r="I68" s="36" t="n"/>
      <c r="J68" s="36" t="n"/>
      <c r="K68" s="36" t="n"/>
    </row>
    <row r="69" ht="15.75" customHeight="1" s="59">
      <c r="A69" s="37" t="n"/>
      <c r="B69" s="37" t="n"/>
      <c r="C69" s="37" t="n"/>
      <c r="D69" s="55" t="n"/>
      <c r="I69" s="40" t="n"/>
      <c r="J69" s="40" t="n"/>
      <c r="K69" s="40" t="n"/>
    </row>
    <row r="70" ht="15.75" customHeight="1" s="59">
      <c r="A70" s="37" t="n"/>
      <c r="B70" s="37" t="n"/>
      <c r="C70" s="37" t="n"/>
      <c r="D70" s="56" t="n"/>
      <c r="I70" s="40" t="n"/>
      <c r="J70" s="40" t="n"/>
      <c r="K70" s="40" t="n"/>
    </row>
    <row r="71" ht="15.75" customHeight="1" s="59">
      <c r="A71" s="37" t="n"/>
      <c r="B71" s="37" t="n"/>
      <c r="C71" s="37" t="n"/>
      <c r="D71" s="55" t="n"/>
      <c r="I71" s="40" t="n"/>
      <c r="J71" s="40" t="n"/>
      <c r="K71" s="40" t="n"/>
    </row>
    <row r="72" ht="15.75" customHeight="1" s="59">
      <c r="A72" s="37" t="n"/>
      <c r="B72" s="37" t="n"/>
      <c r="C72" s="37" t="n"/>
      <c r="D72" s="55" t="n"/>
      <c r="I72" s="40" t="n"/>
      <c r="J72" s="40" t="n"/>
      <c r="K72" s="40" t="n"/>
    </row>
    <row r="73" ht="15.75" customHeight="1" s="59">
      <c r="A73" s="37" t="n"/>
      <c r="B73" s="37" t="n"/>
      <c r="C73" s="37" t="n"/>
      <c r="D73" s="55" t="n"/>
      <c r="I73" s="40" t="n"/>
      <c r="J73" s="40" t="n"/>
      <c r="K73" s="40" t="n"/>
    </row>
    <row r="74" ht="15.75" customHeight="1" s="59">
      <c r="A74" s="37" t="n"/>
      <c r="B74" s="37" t="n"/>
      <c r="C74" s="37" t="n"/>
      <c r="D74" s="55" t="n"/>
      <c r="I74" s="40" t="n"/>
      <c r="J74" s="40" t="n"/>
      <c r="K74" s="40" t="n"/>
    </row>
    <row r="75" ht="27" customHeight="1" s="59"/>
    <row r="76" ht="27" customHeight="1" s="59"/>
    <row r="77" ht="27" customHeight="1" s="59"/>
    <row r="78" ht="27" customHeight="1" s="59"/>
    <row r="79" ht="27" customHeight="1" s="59"/>
    <row r="80" ht="27" customHeight="1" s="59"/>
    <row r="81" ht="27" customHeight="1" s="59"/>
    <row r="82" ht="18.75" customHeight="1" s="59"/>
    <row r="83" ht="15.75" customHeight="1" s="59"/>
    <row r="84" ht="44.25" customHeight="1" s="59"/>
    <row r="85" ht="15.75" customHeight="1" s="59"/>
    <row r="86" ht="49.5" customHeight="1" s="59"/>
    <row r="87" ht="15.75" customHeight="1" s="59"/>
    <row r="88" ht="49.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</sheetData>
  <mergeCells count="93">
    <mergeCell ref="D2:F2"/>
    <mergeCell ref="D60:H60"/>
    <mergeCell ref="D69:H69"/>
    <mergeCell ref="G2:H2"/>
    <mergeCell ref="B6:E6"/>
    <mergeCell ref="B15:E15"/>
    <mergeCell ref="B55:E55"/>
    <mergeCell ref="B24:E24"/>
    <mergeCell ref="J59:K59"/>
    <mergeCell ref="I3:K3"/>
    <mergeCell ref="A1:K1"/>
    <mergeCell ref="A2:C2"/>
    <mergeCell ref="B36:E36"/>
    <mergeCell ref="J60:K60"/>
    <mergeCell ref="B45:E45"/>
    <mergeCell ref="A57:I57"/>
    <mergeCell ref="I5:K5"/>
    <mergeCell ref="B54:E54"/>
    <mergeCell ref="B7:E7"/>
    <mergeCell ref="B47:E47"/>
    <mergeCell ref="B22:E22"/>
    <mergeCell ref="B31:E31"/>
    <mergeCell ref="B56:E56"/>
    <mergeCell ref="B43:E43"/>
    <mergeCell ref="B12:E12"/>
    <mergeCell ref="B52:E52"/>
    <mergeCell ref="B21:E21"/>
    <mergeCell ref="B39:E39"/>
    <mergeCell ref="A67:I67"/>
    <mergeCell ref="D71:H71"/>
    <mergeCell ref="B42:E42"/>
    <mergeCell ref="B14:E14"/>
    <mergeCell ref="B23:E23"/>
    <mergeCell ref="B17:E17"/>
    <mergeCell ref="I2:K2"/>
    <mergeCell ref="B66:D66"/>
    <mergeCell ref="D73:H73"/>
    <mergeCell ref="B13:E13"/>
    <mergeCell ref="B38:E38"/>
    <mergeCell ref="B44:E44"/>
    <mergeCell ref="J62:K62"/>
    <mergeCell ref="B19:E19"/>
    <mergeCell ref="B34:E34"/>
    <mergeCell ref="B28:E28"/>
    <mergeCell ref="D59:H59"/>
    <mergeCell ref="B40:E40"/>
    <mergeCell ref="B9:E9"/>
    <mergeCell ref="J64:K64"/>
    <mergeCell ref="B49:E49"/>
    <mergeCell ref="A59:B59"/>
    <mergeCell ref="B30:E30"/>
    <mergeCell ref="D63:H63"/>
    <mergeCell ref="B33:E33"/>
    <mergeCell ref="J57:K57"/>
    <mergeCell ref="A3:C3"/>
    <mergeCell ref="B51:E51"/>
    <mergeCell ref="B20:E20"/>
    <mergeCell ref="A61:B61"/>
    <mergeCell ref="B32:E32"/>
    <mergeCell ref="B26:E26"/>
    <mergeCell ref="B41:E41"/>
    <mergeCell ref="B35:E35"/>
    <mergeCell ref="B50:E50"/>
    <mergeCell ref="A5:C5"/>
    <mergeCell ref="D4:F4"/>
    <mergeCell ref="B16:E16"/>
    <mergeCell ref="D3:F3"/>
    <mergeCell ref="B25:E25"/>
    <mergeCell ref="I4:K4"/>
    <mergeCell ref="D61:H61"/>
    <mergeCell ref="A4:C4"/>
    <mergeCell ref="B46:E46"/>
    <mergeCell ref="G3:H3"/>
    <mergeCell ref="D70:H70"/>
    <mergeCell ref="B27:E27"/>
    <mergeCell ref="B18:E18"/>
    <mergeCell ref="D5:F5"/>
    <mergeCell ref="D72:H72"/>
    <mergeCell ref="B48:E48"/>
    <mergeCell ref="G5:H5"/>
    <mergeCell ref="J63:K63"/>
    <mergeCell ref="B11:E11"/>
    <mergeCell ref="D62:H62"/>
    <mergeCell ref="D74:H74"/>
    <mergeCell ref="G4:H4"/>
    <mergeCell ref="B8:E8"/>
    <mergeCell ref="B53:E53"/>
    <mergeCell ref="A63:B63"/>
    <mergeCell ref="D64:H64"/>
    <mergeCell ref="B29:E29"/>
    <mergeCell ref="B37:E37"/>
    <mergeCell ref="B10:E10"/>
    <mergeCell ref="J61:K61"/>
  </mergeCells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9" r:id="rId3"/>
    <hyperlink xmlns:r="http://schemas.openxmlformats.org/officeDocument/2006/relationships" ref="K10" r:id="rId4"/>
    <hyperlink xmlns:r="http://schemas.openxmlformats.org/officeDocument/2006/relationships" ref="K11" r:id="rId5"/>
    <hyperlink xmlns:r="http://schemas.openxmlformats.org/officeDocument/2006/relationships" ref="K12" r:id="rId6"/>
    <hyperlink xmlns:r="http://schemas.openxmlformats.org/officeDocument/2006/relationships" ref="K13" r:id="rId7"/>
    <hyperlink xmlns:r="http://schemas.openxmlformats.org/officeDocument/2006/relationships" ref="K14" r:id="rId8"/>
    <hyperlink xmlns:r="http://schemas.openxmlformats.org/officeDocument/2006/relationships" ref="K15" r:id="rId9"/>
    <hyperlink xmlns:r="http://schemas.openxmlformats.org/officeDocument/2006/relationships" ref="K16" r:id="rId10"/>
    <hyperlink xmlns:r="http://schemas.openxmlformats.org/officeDocument/2006/relationships" ref="K17" r:id="rId11"/>
    <hyperlink xmlns:r="http://schemas.openxmlformats.org/officeDocument/2006/relationships" ref="K18" r:id="rId12"/>
    <hyperlink xmlns:r="http://schemas.openxmlformats.org/officeDocument/2006/relationships" ref="K19" r:id="rId13"/>
    <hyperlink xmlns:r="http://schemas.openxmlformats.org/officeDocument/2006/relationships" ref="K20" r:id="rId14"/>
    <hyperlink xmlns:r="http://schemas.openxmlformats.org/officeDocument/2006/relationships" ref="K21" r:id="rId15"/>
    <hyperlink xmlns:r="http://schemas.openxmlformats.org/officeDocument/2006/relationships" ref="K22" r:id="rId16"/>
    <hyperlink xmlns:r="http://schemas.openxmlformats.org/officeDocument/2006/relationships" ref="K23" r:id="rId17"/>
    <hyperlink xmlns:r="http://schemas.openxmlformats.org/officeDocument/2006/relationships" ref="K24" r:id="rId18"/>
    <hyperlink xmlns:r="http://schemas.openxmlformats.org/officeDocument/2006/relationships" ref="K25" r:id="rId19"/>
    <hyperlink xmlns:r="http://schemas.openxmlformats.org/officeDocument/2006/relationships" ref="K26" r:id="rId20"/>
    <hyperlink xmlns:r="http://schemas.openxmlformats.org/officeDocument/2006/relationships" ref="K27" r:id="rId21"/>
    <hyperlink xmlns:r="http://schemas.openxmlformats.org/officeDocument/2006/relationships" ref="K28" r:id="rId22"/>
    <hyperlink xmlns:r="http://schemas.openxmlformats.org/officeDocument/2006/relationships" ref="K29" r:id="rId23"/>
    <hyperlink xmlns:r="http://schemas.openxmlformats.org/officeDocument/2006/relationships" ref="K30" r:id="rId24"/>
    <hyperlink xmlns:r="http://schemas.openxmlformats.org/officeDocument/2006/relationships" ref="K31" r:id="rId25"/>
    <hyperlink xmlns:r="http://schemas.openxmlformats.org/officeDocument/2006/relationships" ref="K32" r:id="rId26"/>
    <hyperlink xmlns:r="http://schemas.openxmlformats.org/officeDocument/2006/relationships" ref="K33" r:id="rId27"/>
    <hyperlink xmlns:r="http://schemas.openxmlformats.org/officeDocument/2006/relationships" ref="K34" r:id="rId28"/>
    <hyperlink xmlns:r="http://schemas.openxmlformats.org/officeDocument/2006/relationships" ref="K35" r:id="rId29"/>
    <hyperlink xmlns:r="http://schemas.openxmlformats.org/officeDocument/2006/relationships" ref="K36" r:id="rId30"/>
    <hyperlink xmlns:r="http://schemas.openxmlformats.org/officeDocument/2006/relationships" ref="K37" r:id="rId31"/>
    <hyperlink xmlns:r="http://schemas.openxmlformats.org/officeDocument/2006/relationships" ref="K38" r:id="rId32"/>
    <hyperlink xmlns:r="http://schemas.openxmlformats.org/officeDocument/2006/relationships" ref="K39" r:id="rId33"/>
    <hyperlink xmlns:r="http://schemas.openxmlformats.org/officeDocument/2006/relationships" ref="K40" r:id="rId34"/>
    <hyperlink xmlns:r="http://schemas.openxmlformats.org/officeDocument/2006/relationships" ref="K41" r:id="rId35"/>
    <hyperlink xmlns:r="http://schemas.openxmlformats.org/officeDocument/2006/relationships" ref="K42" r:id="rId36"/>
    <hyperlink xmlns:r="http://schemas.openxmlformats.org/officeDocument/2006/relationships" ref="K43" r:id="rId37"/>
    <hyperlink xmlns:r="http://schemas.openxmlformats.org/officeDocument/2006/relationships" ref="K44" r:id="rId38"/>
    <hyperlink xmlns:r="http://schemas.openxmlformats.org/officeDocument/2006/relationships" ref="K45" r:id="rId39"/>
    <hyperlink xmlns:r="http://schemas.openxmlformats.org/officeDocument/2006/relationships" ref="K46" r:id="rId40"/>
    <hyperlink xmlns:r="http://schemas.openxmlformats.org/officeDocument/2006/relationships" ref="K47" r:id="rId41"/>
    <hyperlink xmlns:r="http://schemas.openxmlformats.org/officeDocument/2006/relationships" ref="K48" r:id="rId42"/>
    <hyperlink xmlns:r="http://schemas.openxmlformats.org/officeDocument/2006/relationships" ref="K49" r:id="rId43"/>
    <hyperlink xmlns:r="http://schemas.openxmlformats.org/officeDocument/2006/relationships" ref="K50" r:id="rId44"/>
    <hyperlink xmlns:r="http://schemas.openxmlformats.org/officeDocument/2006/relationships" ref="K51" r:id="rId45"/>
    <hyperlink xmlns:r="http://schemas.openxmlformats.org/officeDocument/2006/relationships" ref="K52" r:id="rId46"/>
    <hyperlink xmlns:r="http://schemas.openxmlformats.org/officeDocument/2006/relationships" ref="K53" r:id="rId47"/>
    <hyperlink xmlns:r="http://schemas.openxmlformats.org/officeDocument/2006/relationships" ref="K54" r:id="rId48"/>
    <hyperlink xmlns:r="http://schemas.openxmlformats.org/officeDocument/2006/relationships" ref="K55" r:id="rId49"/>
    <hyperlink xmlns:r="http://schemas.openxmlformats.org/officeDocument/2006/relationships" ref="K56" r:id="rId50"/>
  </hyperlinks>
  <pageMargins left="0.7" right="0.7" top="0.75" bottom="0.75" header="0" footer="0"/>
  <pageSetup orientation="portrait" paperSize="9" scale="80" fitToHeight="0" fitToWidth="1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Moorche</dc:creator>
  <dcterms:created xmlns:dcterms="http://purl.org/dc/terms/" xmlns:xsi="http://www.w3.org/2001/XMLSchema-instance" xsi:type="dcterms:W3CDTF">2024-11-18T02:59:14Z</dcterms:created>
  <dcterms:modified xmlns:dcterms="http://purl.org/dc/terms/" xmlns:xsi="http://www.w3.org/2001/XMLSchema-instance" xsi:type="dcterms:W3CDTF">2026-10-05T05:12:31Z</dcterms:modified>
</cp:coreProperties>
</file>