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Little Explorers 5-7" sheetId="2" state="visible" r:id="rId4"/>
    <sheet name="Junior Makers 8-11" sheetId="3" state="visible" r:id="rId5"/>
    <sheet name="Young Innovators 12-14" sheetId="4" state="visible" r:id="rId6"/>
    <sheet name="Tech Leaders 15-17" sheetId="5" state="visible" r:id="rId7"/>
  </sheets>
  <definedNames>
    <definedName function="false" hidden="true" localSheetId="2" name="_xlnm._FilterDatabase" vbProcedure="false">'Junior Makers 8-11'!$A$4:$M$22</definedName>
    <definedName function="false" hidden="true" localSheetId="1" name="_xlnm._FilterDatabase" vbProcedure="false">'Little Explorers 5-7'!$A$4:$M$22</definedName>
    <definedName function="false" hidden="true" localSheetId="4" name="_xlnm._FilterDatabase" vbProcedure="false">'Tech Leaders 15-17'!$A$4:$M$22</definedName>
    <definedName function="false" hidden="true" localSheetId="3" name="_xlnm._FilterDatabase" vbProcedure="false">'Young Innovators 12-14'!$A$4:$M$22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<sst xmlns="http://schemas.openxmlformats.org/spreadsheetml/2006/main" count="483" uniqueCount="196">
  <si>
    <t xml:space="preserve">Robotics &amp; AI Club: Session Tracker</t>
  </si>
  <si>
    <t xml:space="preserve">Curriculum developed by Qasim Mushtaq, MS Robotics and AI · Academic Year 2026-27</t>
  </si>
  <si>
    <t xml:space="preserve">Pathway</t>
  </si>
  <si>
    <t xml:space="preserve">Total</t>
  </si>
  <si>
    <t xml:space="preserve">Done</t>
  </si>
  <si>
    <t xml:space="preserve">Planned</t>
  </si>
  <si>
    <t xml:space="preserve">Postponed</t>
  </si>
  <si>
    <t xml:space="preserve">Cancelled</t>
  </si>
  <si>
    <t xml:space="preserve">% complete</t>
  </si>
  <si>
    <t xml:space="preserve">Progress</t>
  </si>
  <si>
    <t xml:space="preserve">Last session</t>
  </si>
  <si>
    <t xml:space="preserve">Little Explorers (Ages 5-7)</t>
  </si>
  <si>
    <t xml:space="preserve">Junior Makers (Ages 8-11)</t>
  </si>
  <si>
    <t xml:space="preserve">Young Innovators (Ages 12-14)</t>
  </si>
  <si>
    <t xml:space="preserve">Tech Leaders (Ages 15-17)</t>
  </si>
  <si>
    <t xml:space="preserve">All pathways</t>
  </si>
  <si>
    <t xml:space="preserve">How to use</t>
  </si>
  <si>
    <t xml:space="preserve">1. Open a pathway tab (click its name above).</t>
  </si>
  <si>
    <t xml:space="preserve">2. Before a session, set Planned date and Status = Planned.</t>
  </si>
  <si>
    <t xml:space="preserve">3. After the session, set Status = Done, add Date delivered, attendance, kit issues and notes.</t>
  </si>
  <si>
    <t xml:space="preserve">4. Yellow cells are for you to edit; this dashboard updates by itself.</t>
  </si>
  <si>
    <t xml:space="preserve">5. % complete ignores cancelled sessions. For several sections of one age group, copy that tab once per section.</t>
  </si>
  <si>
    <t xml:space="preserve">Example of a completed row</t>
  </si>
  <si>
    <t xml:space="preserve">Class</t>
  </si>
  <si>
    <t xml:space="preserve">Code</t>
  </si>
  <si>
    <t xml:space="preserve">Activity</t>
  </si>
  <si>
    <t xml:space="preserve">Domain</t>
  </si>
  <si>
    <t xml:space="preserve">Planned date</t>
  </si>
  <si>
    <t xml:space="preserve">Status</t>
  </si>
  <si>
    <t xml:space="preserve">Date delivered</t>
  </si>
  <si>
    <t xml:space="preserve">Section / batch</t>
  </si>
  <si>
    <t xml:space="preserve">Teacher</t>
  </si>
  <si>
    <t xml:space="preserve">Students present</t>
  </si>
  <si>
    <t xml:space="preserve">Slides ready?</t>
  </si>
  <si>
    <t xml:space="preserve">Kit issues / missing parts</t>
  </si>
  <si>
    <t xml:space="preserve">Notes &amp; reflections</t>
  </si>
  <si>
    <t xml:space="preserve">LE-04</t>
  </si>
  <si>
    <t xml:space="preserve">Traffic Light Controller</t>
  </si>
  <si>
    <t xml:space="preserve">Programming &amp; Logic</t>
  </si>
  <si>
    <t xml:space="preserve">15-Oct-2026</t>
  </si>
  <si>
    <t xml:space="preserve">Grade 1 A</t>
  </si>
  <si>
    <t xml:space="preserve">Mr. Qasim</t>
  </si>
  <si>
    <t xml:space="preserve">Yes</t>
  </si>
  <si>
    <t xml:space="preserve">1 red LED faulty, replaced</t>
  </si>
  <si>
    <t xml:space="preserve">Children loved the buzzer challenge; extend timing task next time</t>
  </si>
  <si>
    <t xml:space="preserve">Little Explorers (Ages 5-7): session tracker</t>
  </si>
  <si>
    <t xml:space="preserve">16 classes = 8 weeks, 2 classes a week. Capstone rows are optional extras and are not counted. Fill the yellow cells after each class. Status 'Done' turns the row green. For several sections, copy this tab once per section.</t>
  </si>
  <si>
    <t xml:space="preserve">LE-01</t>
  </si>
  <si>
    <t xml:space="preserve">Light-Up Paper Circuit Card</t>
  </si>
  <si>
    <t xml:space="preserve">Electronics &amp; Circuits</t>
  </si>
  <si>
    <t xml:space="preserve">Not started</t>
  </si>
  <si>
    <t xml:space="preserve">No</t>
  </si>
  <si>
    <t xml:space="preserve">LE-02</t>
  </si>
  <si>
    <t xml:space="preserve">Push-Button Doorbell</t>
  </si>
  <si>
    <t xml:space="preserve">LE-03</t>
  </si>
  <si>
    <t xml:space="preserve">Lemon Battery LED Lamp</t>
  </si>
  <si>
    <t xml:space="preserve">Power &amp; Energy</t>
  </si>
  <si>
    <t xml:space="preserve">LE-05</t>
  </si>
  <si>
    <t xml:space="preserve">Automatic Night Lamp</t>
  </si>
  <si>
    <t xml:space="preserve">Sensors &amp; Environment</t>
  </si>
  <si>
    <t xml:space="preserve">LE-06</t>
  </si>
  <si>
    <t xml:space="preserve">Hot &amp; Cold Temperature Indicator</t>
  </si>
  <si>
    <t xml:space="preserve">LE-07</t>
  </si>
  <si>
    <t xml:space="preserve">Plant Water Alarm</t>
  </si>
  <si>
    <t xml:space="preserve">LE-08</t>
  </si>
  <si>
    <t xml:space="preserve">Motion Detector Room Alarm</t>
  </si>
  <si>
    <t xml:space="preserve">Security &amp; Safety</t>
  </si>
  <si>
    <t xml:space="preserve">LE-09</t>
  </si>
  <si>
    <t xml:space="preserve">Waving Robot Arm</t>
  </si>
  <si>
    <t xml:space="preserve">Robotics &amp; Actuation</t>
  </si>
  <si>
    <t xml:space="preserve">LE-10</t>
  </si>
  <si>
    <t xml:space="preserve">Automatic Railway Crossing Gate</t>
  </si>
  <si>
    <t xml:space="preserve">LE-11</t>
  </si>
  <si>
    <t xml:space="preserve">Vibrating Brush Robot</t>
  </si>
  <si>
    <t xml:space="preserve">Mechanical Design</t>
  </si>
  <si>
    <t xml:space="preserve">LE-12</t>
  </si>
  <si>
    <t xml:space="preserve">Morse Code Light Messenger</t>
  </si>
  <si>
    <t xml:space="preserve">IoT &amp; Communication</t>
  </si>
  <si>
    <t xml:space="preserve">LE-13</t>
  </si>
  <si>
    <t xml:space="preserve">Makey Makey Fruit Piano</t>
  </si>
  <si>
    <t xml:space="preserve">LE-14</t>
  </si>
  <si>
    <t xml:space="preserve">Animated Story App</t>
  </si>
  <si>
    <t xml:space="preserve">App, Web &amp; Game Development</t>
  </si>
  <si>
    <t xml:space="preserve">LE-15</t>
  </si>
  <si>
    <t xml:space="preserve">Catch-the-Fruit Game with Playdough Controller</t>
  </si>
  <si>
    <t xml:space="preserve">LE-16</t>
  </si>
  <si>
    <t xml:space="preserve">Robot Sorting Rules Game</t>
  </si>
  <si>
    <t xml:space="preserve">AI &amp; Data</t>
  </si>
  <si>
    <t xml:space="preserve">Extra A</t>
  </si>
  <si>
    <t xml:space="preserve">CAP-1</t>
  </si>
  <si>
    <t xml:space="preserve">Optional capstone (after the batch): plan and build</t>
  </si>
  <si>
    <t xml:space="preserve">Project-based learning</t>
  </si>
  <si>
    <t xml:space="preserve">Extra B</t>
  </si>
  <si>
    <t xml:space="preserve">CAP-2</t>
  </si>
  <si>
    <t xml:space="preserve">Optional capstone (after the batch): test, improve and showcase</t>
  </si>
  <si>
    <t xml:space="preserve">Classes done</t>
  </si>
  <si>
    <t xml:space="preserve">Average attendance</t>
  </si>
  <si>
    <t xml:space="preserve">Junior Makers (Ages 8-11): session tracker</t>
  </si>
  <si>
    <t xml:space="preserve">JM-01</t>
  </si>
  <si>
    <t xml:space="preserve">Series &amp; Parallel Circuit Lab</t>
  </si>
  <si>
    <t xml:space="preserve">JM-02</t>
  </si>
  <si>
    <t xml:space="preserve">Two-Player Reaction Timer with Scoreboard</t>
  </si>
  <si>
    <t xml:space="preserve">JM-03</t>
  </si>
  <si>
    <t xml:space="preserve">Mini Weather Station with OLED Display</t>
  </si>
  <si>
    <t xml:space="preserve">JM-04</t>
  </si>
  <si>
    <t xml:space="preserve">Smart Dustbin with Fill-Level Indicator</t>
  </si>
  <si>
    <t xml:space="preserve">JM-05</t>
  </si>
  <si>
    <t xml:space="preserve">Rain-Sensing Automatic Window</t>
  </si>
  <si>
    <t xml:space="preserve">JM-06</t>
  </si>
  <si>
    <t xml:space="preserve">Fire &amp; Gas Safety Alarm Panel</t>
  </si>
  <si>
    <t xml:space="preserve">JM-07</t>
  </si>
  <si>
    <t xml:space="preserve">Temperature-Controlled Smart Fan</t>
  </si>
  <si>
    <t xml:space="preserve">JM-08</t>
  </si>
  <si>
    <t xml:space="preserve">Sun-Tracking Solar Panel</t>
  </si>
  <si>
    <t xml:space="preserve">JM-09</t>
  </si>
  <si>
    <t xml:space="preserve">Home Burglar Alarm with Secret Code</t>
  </si>
  <si>
    <t xml:space="preserve">JM-10</t>
  </si>
  <si>
    <t xml:space="preserve">3D-Designed Name Badge &amp; Sensor Mount</t>
  </si>
  <si>
    <t xml:space="preserve">JM-11</t>
  </si>
  <si>
    <t xml:space="preserve">Line Following Robot</t>
  </si>
  <si>
    <t xml:space="preserve">JM-12</t>
  </si>
  <si>
    <t xml:space="preserve">Phone-Controlled RGB Mood Lamp</t>
  </si>
  <si>
    <t xml:space="preserve">JM-13</t>
  </si>
  <si>
    <t xml:space="preserve">Step Counter Fitness Tracker</t>
  </si>
  <si>
    <t xml:space="preserve">JM-14</t>
  </si>
  <si>
    <t xml:space="preserve">Weather Report Webpage</t>
  </si>
  <si>
    <t xml:space="preserve">JM-15</t>
  </si>
  <si>
    <t xml:space="preserve">Pong Game with a Knob Controller</t>
  </si>
  <si>
    <t xml:space="preserve">JM-16</t>
  </si>
  <si>
    <t xml:space="preserve">AI Recycling Sorter</t>
  </si>
  <si>
    <t xml:space="preserve">Young Innovators (Ages 12-14): session tracker</t>
  </si>
  <si>
    <t xml:space="preserve">YI-01</t>
  </si>
  <si>
    <t xml:space="preserve">555 Timer Alarm Siren Circuit</t>
  </si>
  <si>
    <t xml:space="preserve">YI-02</t>
  </si>
  <si>
    <t xml:space="preserve">Heart Rate Monitoring System</t>
  </si>
  <si>
    <t xml:space="preserve">YI-03</t>
  </si>
  <si>
    <t xml:space="preserve">Smart Classroom Energy Saver</t>
  </si>
  <si>
    <t xml:space="preserve">YI-04</t>
  </si>
  <si>
    <t xml:space="preserve">Stepper Motor Drawing Plotter</t>
  </si>
  <si>
    <t xml:space="preserve">YI-05</t>
  </si>
  <si>
    <t xml:space="preserve">Obstacle Avoiding Robot with Scanning Sonar</t>
  </si>
  <si>
    <t xml:space="preserve">YI-06</t>
  </si>
  <si>
    <t xml:space="preserve">Bluetooth Robot Car with Phone App</t>
  </si>
  <si>
    <t xml:space="preserve">YI-07</t>
  </si>
  <si>
    <t xml:space="preserve">Gesture-Controlled Robot Arm</t>
  </si>
  <si>
    <t xml:space="preserve">YI-08</t>
  </si>
  <si>
    <t xml:space="preserve">RFID Smart Door Lock with Access Log</t>
  </si>
  <si>
    <t xml:space="preserve">YI-09</t>
  </si>
  <si>
    <t xml:space="preserve">Rechargeable Power Pack for Robots</t>
  </si>
  <si>
    <t xml:space="preserve">YI-10</t>
  </si>
  <si>
    <t xml:space="preserve">Wireless Doorbell with Visitor Counter</t>
  </si>
  <si>
    <t xml:space="preserve">YI-11</t>
  </si>
  <si>
    <t xml:space="preserve">Wi-Fi Automatic Plant Watering System</t>
  </si>
  <si>
    <t xml:space="preserve">YI-12</t>
  </si>
  <si>
    <t xml:space="preserve">Plant Monitor Mobile App</t>
  </si>
  <si>
    <t xml:space="preserve">YI-13</t>
  </si>
  <si>
    <t xml:space="preserve">Python Maths Quiz Game with Scoreboard</t>
  </si>
  <si>
    <t xml:space="preserve">YI-14</t>
  </si>
  <si>
    <t xml:space="preserve">Personal Portfolio Website</t>
  </si>
  <si>
    <t xml:space="preserve">YI-15</t>
  </si>
  <si>
    <t xml:space="preserve">School Helpdesk Chatbot</t>
  </si>
  <si>
    <t xml:space="preserve">YI-16</t>
  </si>
  <si>
    <t xml:space="preserve">3D-Printed Plant Monitor Enclosure</t>
  </si>
  <si>
    <t xml:space="preserve">Tech Leaders (Ages 15-17): session tracker</t>
  </si>
  <si>
    <t xml:space="preserve">TL-01</t>
  </si>
  <si>
    <t xml:space="preserve">Solar-Powered Off-Grid Weather Node</t>
  </si>
  <si>
    <t xml:space="preserve">TL-02</t>
  </si>
  <si>
    <t xml:space="preserve">Autonomous Maze Solving Robot</t>
  </si>
  <si>
    <t xml:space="preserve">TL-03</t>
  </si>
  <si>
    <t xml:space="preserve">Pick-and-Place Robotic Arm with Record &amp; Replay</t>
  </si>
  <si>
    <t xml:space="preserve">TL-04</t>
  </si>
  <si>
    <t xml:space="preserve">Fall Detection Wearable for the Elderly</t>
  </si>
  <si>
    <t xml:space="preserve">TL-05</t>
  </si>
  <si>
    <t xml:space="preserve">ESP-NOW Wireless Sensor Network</t>
  </si>
  <si>
    <t xml:space="preserve">TL-06</t>
  </si>
  <si>
    <t xml:space="preserve">Smart Home Cloud Control Hub</t>
  </si>
  <si>
    <t xml:space="preserve">TL-07</t>
  </si>
  <si>
    <t xml:space="preserve">Smart Parking Occupancy Dashboard</t>
  </si>
  <si>
    <t xml:space="preserve">TL-08</t>
  </si>
  <si>
    <t xml:space="preserve">Two-Factor Smart Locker with Intrusion Alerts</t>
  </si>
  <si>
    <t xml:space="preserve">TL-09</t>
  </si>
  <si>
    <t xml:space="preserve">Sensor Data Logging &amp; Analysis Pipeline</t>
  </si>
  <si>
    <t xml:space="preserve">TL-10</t>
  </si>
  <si>
    <t xml:space="preserve">Machine Learning Rain Predictor</t>
  </si>
  <si>
    <t xml:space="preserve">TL-11</t>
  </si>
  <si>
    <t xml:space="preserve">AI Fake News Detector</t>
  </si>
  <si>
    <t xml:space="preserve">TL-12</t>
  </si>
  <si>
    <t xml:space="preserve">Web-Controlled Devices via REST API</t>
  </si>
  <si>
    <t xml:space="preserve">TL-13</t>
  </si>
  <si>
    <t xml:space="preserve">Securing an IoT Device</t>
  </si>
  <si>
    <t xml:space="preserve">TL-14</t>
  </si>
  <si>
    <t xml:space="preserve">Autonomous Fire-Fighting Robot</t>
  </si>
  <si>
    <t xml:space="preserve">TL-15</t>
  </si>
  <si>
    <t xml:space="preserve">Parametric Robot Gripper Design</t>
  </si>
  <si>
    <t xml:space="preserve">TL-16</t>
  </si>
  <si>
    <t xml:space="preserve">Motion-Controlled Game</t>
  </si>
</sst>
</file>

<file path=xl/styles.xml><?xml version="1.0" encoding="utf-8"?>
<styleSheet xmlns="http://schemas.openxmlformats.org/spreadsheetml/2006/main">
  <numFmts count="5">
    <numFmt numFmtId="164" formatCode="General"/>
    <numFmt numFmtId="165" formatCode="0%"/>
    <numFmt numFmtId="166" formatCode=";;;"/>
    <numFmt numFmtId="167" formatCode="dd\-mmm\-yyyy"/>
    <numFmt numFmtId="168" formatCode="General"/>
  </numFmts>
  <fonts count="21">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0"/>
      <color rgb="FF595959"/>
      <name val="Arial"/>
      <family val="0"/>
      <charset val="1"/>
    </font>
    <font>
      <b val="true"/>
      <sz val="10"/>
      <color rgb="FFFFFFFF"/>
      <name val="Arial"/>
      <family val="0"/>
      <charset val="1"/>
    </font>
    <font>
      <b val="true"/>
      <sz val="10"/>
      <color rgb="FF2E9E5B"/>
      <name val="Arial"/>
      <family val="0"/>
      <charset val="1"/>
    </font>
    <font>
      <sz val="10"/>
      <name val="Arial"/>
      <family val="0"/>
      <charset val="1"/>
    </font>
    <font>
      <b val="true"/>
      <sz val="10"/>
      <color rgb="FF1F6FD1"/>
      <name val="Arial"/>
      <family val="0"/>
      <charset val="1"/>
    </font>
    <font>
      <b val="true"/>
      <sz val="10"/>
      <color rgb="FF7B3FC4"/>
      <name val="Arial"/>
      <family val="0"/>
      <charset val="1"/>
    </font>
    <font>
      <b val="true"/>
      <sz val="10"/>
      <color rgb="FFD9434A"/>
      <name val="Arial"/>
      <family val="0"/>
      <charset val="1"/>
    </font>
    <font>
      <b val="true"/>
      <sz val="10"/>
      <name val="Arial"/>
      <family val="0"/>
      <charset val="1"/>
    </font>
    <font>
      <b val="true"/>
      <sz val="12"/>
      <color rgb="FF1F3864"/>
      <name val="Arial"/>
      <family val="0"/>
      <charset val="1"/>
    </font>
    <font>
      <b val="true"/>
      <sz val="10"/>
      <color rgb="FF1F3864"/>
      <name val="Arial"/>
      <family val="0"/>
      <charset val="1"/>
    </font>
    <font>
      <b val="true"/>
      <sz val="8"/>
      <color rgb="FFFFFFFF"/>
      <name val="Arial"/>
      <family val="0"/>
      <charset val="1"/>
    </font>
    <font>
      <sz val="8"/>
      <name val="Arial"/>
      <family val="0"/>
      <charset val="1"/>
    </font>
    <font>
      <b val="true"/>
      <sz val="14"/>
      <color rgb="FF2E9E5B"/>
      <name val="Arial"/>
      <family val="0"/>
      <charset val="1"/>
    </font>
    <font>
      <b val="true"/>
      <sz val="14"/>
      <color rgb="FF1F6FD1"/>
      <name val="Arial"/>
      <family val="0"/>
      <charset val="1"/>
    </font>
    <font>
      <b val="true"/>
      <sz val="14"/>
      <color rgb="FF7B3FC4"/>
      <name val="Arial"/>
      <family val="0"/>
      <charset val="1"/>
    </font>
    <font>
      <b val="true"/>
      <sz val="14"/>
      <color rgb="FFD9434A"/>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7F7F7F"/>
        <bgColor rgb="FF969696"/>
      </patternFill>
    </fill>
    <fill>
      <patternFill patternType="solid">
        <fgColor rgb="FFD9F2E3"/>
        <bgColor rgb="FFE3EEFB"/>
      </patternFill>
    </fill>
    <fill>
      <patternFill patternType="solid">
        <fgColor rgb="FF2E9E5B"/>
        <bgColor rgb="FF008080"/>
      </patternFill>
    </fill>
    <fill>
      <patternFill patternType="solid">
        <fgColor rgb="FFFFF9DB"/>
        <bgColor rgb="FFFFFFFF"/>
      </patternFill>
    </fill>
    <fill>
      <patternFill patternType="solid">
        <fgColor rgb="FF1F6FD1"/>
        <bgColor rgb="FF3366FF"/>
      </patternFill>
    </fill>
    <fill>
      <patternFill patternType="solid">
        <fgColor rgb="FF7B3FC4"/>
        <bgColor rgb="FF333399"/>
      </patternFill>
    </fill>
    <fill>
      <patternFill patternType="solid">
        <fgColor rgb="FFD9434A"/>
        <bgColor rgb="FFFF660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7"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E9E5B"/>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ont>
        <name val="Arial"/>
        <charset val="1"/>
        <family val="0"/>
        <color rgb="FF1E6B3A"/>
      </font>
      <fill>
        <patternFill>
          <bgColor rgb="FFD9F2E3"/>
        </patternFill>
      </fill>
    </dxf>
    <dxf>
      <fill>
        <patternFill>
          <bgColor rgb="FFFFE8CC"/>
        </patternFill>
      </fill>
    </dxf>
    <dxf>
      <font>
        <name val="Arial"/>
        <charset val="1"/>
        <family val="0"/>
        <strike val="1"/>
        <color rgb="FF7F7F7F"/>
      </font>
      <fill>
        <patternFill>
          <bgColor rgb="FFE7E7E7"/>
        </patternFill>
      </fill>
    </dxf>
    <dxf>
      <fill>
        <patternFill>
          <bgColor rgb="FFE3EEFB"/>
        </patternFill>
      </fill>
    </dxf>
    <dxf>
      <fill>
        <patternFill patternType="solid">
          <fgColor rgb="FF1F6FD1"/>
          <bgColor rgb="FF000000"/>
        </patternFill>
      </fill>
    </dxf>
    <dxf>
      <fill>
        <patternFill patternType="solid">
          <fgColor rgb="FF7B3FC4"/>
          <bgColor rgb="FF000000"/>
        </patternFill>
      </fill>
    </dxf>
    <dxf>
      <fill>
        <patternFill patternType="solid">
          <fgColor rgb="FFD9434A"/>
          <bgColor rgb="FF000000"/>
        </patternFill>
      </fill>
    </dxf>
  </dxfs>
  <colors>
    <indexedColors>
      <rgbColor rgb="FF000000"/>
      <rgbColor rgb="FFFFFFFF"/>
      <rgbColor rgb="FFFF0000"/>
      <rgbColor rgb="FF00FF00"/>
      <rgbColor rgb="FF0000FF"/>
      <rgbColor rgb="FFFFFF00"/>
      <rgbColor rgb="FFFF00FF"/>
      <rgbColor rgb="FF00FFFF"/>
      <rgbColor rgb="FF800000"/>
      <rgbColor rgb="FF1E6B3A"/>
      <rgbColor rgb="FF000080"/>
      <rgbColor rgb="FF808000"/>
      <rgbColor rgb="FF800080"/>
      <rgbColor rgb="FF008080"/>
      <rgbColor rgb="FFC0C0C0"/>
      <rgbColor rgb="FF7F7F7F"/>
      <rgbColor rgb="FF9999FF"/>
      <rgbColor rgb="FF7B3FC4"/>
      <rgbColor rgb="FFFFF9DB"/>
      <rgbColor rgb="FFE3EEFB"/>
      <rgbColor rgb="FF660066"/>
      <rgbColor rgb="FFFF8080"/>
      <rgbColor rgb="FF1F6FD1"/>
      <rgbColor rgb="FFD0D0D0"/>
      <rgbColor rgb="FF000080"/>
      <rgbColor rgb="FFFF00FF"/>
      <rgbColor rgb="FFFFFF00"/>
      <rgbColor rgb="FF00FFFF"/>
      <rgbColor rgb="FF800080"/>
      <rgbColor rgb="FF800000"/>
      <rgbColor rgb="FF008080"/>
      <rgbColor rgb="FF0000FF"/>
      <rgbColor rgb="FF00CCFF"/>
      <rgbColor rgb="FFE7E7E7"/>
      <rgbColor rgb="FFD9F2E3"/>
      <rgbColor rgb="FFFFE8C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2E9E5B"/>
      <rgbColor rgb="FF003300"/>
      <rgbColor rgb="FF333300"/>
      <rgbColor rgb="FF993300"/>
      <rgbColor rgb="FFD9434A"/>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Robotics_AI_Club_Session_Tracker.xlsx" TargetMode="External"/><Relationship Id="rId2" Type="http://schemas.openxmlformats.org/officeDocument/2006/relationships/hyperlink" Target="Robotics_AI_Club_Session_Tracker.xlsx" TargetMode="External"/><Relationship Id="rId3" Type="http://schemas.openxmlformats.org/officeDocument/2006/relationships/hyperlink" Target="Robotics_AI_Club_Session_Tracker.xlsx" TargetMode="External"/><Relationship Id="rId4" Type="http://schemas.openxmlformats.org/officeDocument/2006/relationships/hyperlink" Target="Robotics_AI_Club_Session_Tracker.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2"/>
    <col collapsed="false" customWidth="true" hidden="false" outlineLevel="0" max="5" min="4" style="0" width="10"/>
    <col collapsed="false" customWidth="true" hidden="false" outlineLevel="0" max="7" min="6" style="0" width="11"/>
    <col collapsed="false" customWidth="true" hidden="false" outlineLevel="0" max="8" min="8" style="0" width="12"/>
    <col collapsed="false" customWidth="true" hidden="false" outlineLevel="0" max="9" min="9" style="0" width="30"/>
    <col collapsed="false" customWidth="true" hidden="false" outlineLevel="0" max="10" min="10" style="0" width="16"/>
    <col collapsed="false" customWidth="true" hidden="false" outlineLevel="0" max="14" min="11" style="0" width="14"/>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3" t="s">
        <v>3</v>
      </c>
      <c r="D5" s="3" t="s">
        <v>4</v>
      </c>
      <c r="E5" s="3" t="s">
        <v>5</v>
      </c>
      <c r="F5" s="3" t="s">
        <v>6</v>
      </c>
      <c r="G5" s="3" t="s">
        <v>7</v>
      </c>
      <c r="H5" s="3" t="s">
        <v>8</v>
      </c>
      <c r="I5" s="3" t="s">
        <v>9</v>
      </c>
      <c r="J5" s="3" t="s">
        <v>10</v>
      </c>
    </row>
    <row r="6" customFormat="false" ht="24" hidden="false" customHeight="true" outlineLevel="0" collapsed="false">
      <c r="B6" s="4" t="s">
        <v>11</v>
      </c>
      <c r="C6" s="5" t="n">
        <v>16</v>
      </c>
      <c r="D6" s="5" t="n">
        <f aca="false">COUNTIF('Little Explorers 5-7'!F5:F20,"Done")</f>
        <v>0</v>
      </c>
      <c r="E6" s="5" t="n">
        <f aca="false">COUNTIF('Little Explorers 5-7'!F5:F20,"Planned")</f>
        <v>0</v>
      </c>
      <c r="F6" s="5" t="n">
        <f aca="false">COUNTIF('Little Explorers 5-7'!F5:F20,"Postponed")</f>
        <v>0</v>
      </c>
      <c r="G6" s="5" t="n">
        <f aca="false">COUNTIF('Little Explorers 5-7'!F5:F20,"Cancelled")</f>
        <v>0</v>
      </c>
      <c r="H6" s="6" t="n">
        <f aca="false">IFERROR(D6/(C6-G6),0)</f>
        <v>0</v>
      </c>
      <c r="I6" s="7" t="n">
        <f aca="false">H6</f>
        <v>0</v>
      </c>
      <c r="J6" s="8" t="str">
        <f aca="false">IF(COUNT('Little Explorers 5-7'!G5:G20)=0,"-",MAX('Little Explorers 5-7'!G5:G20))</f>
        <v>-</v>
      </c>
    </row>
    <row r="7" customFormat="false" ht="24" hidden="false" customHeight="true" outlineLevel="0" collapsed="false">
      <c r="B7" s="9" t="s">
        <v>12</v>
      </c>
      <c r="C7" s="5" t="n">
        <v>16</v>
      </c>
      <c r="D7" s="5" t="n">
        <f aca="false">COUNTIF('Junior Makers 8-11'!F5:F20,"Done")</f>
        <v>0</v>
      </c>
      <c r="E7" s="5" t="n">
        <f aca="false">COUNTIF('Junior Makers 8-11'!F5:F20,"Planned")</f>
        <v>0</v>
      </c>
      <c r="F7" s="5" t="n">
        <f aca="false">COUNTIF('Junior Makers 8-11'!F5:F20,"Postponed")</f>
        <v>0</v>
      </c>
      <c r="G7" s="5" t="n">
        <f aca="false">COUNTIF('Junior Makers 8-11'!F5:F20,"Cancelled")</f>
        <v>0</v>
      </c>
      <c r="H7" s="6" t="n">
        <f aca="false">IFERROR(D7/(C7-G7),0)</f>
        <v>0</v>
      </c>
      <c r="I7" s="7" t="n">
        <f aca="false">H7</f>
        <v>0</v>
      </c>
      <c r="J7" s="8" t="str">
        <f aca="false">IF(COUNT('Junior Makers 8-11'!G5:G20)=0,"-",MAX('Junior Makers 8-11'!G5:G20))</f>
        <v>-</v>
      </c>
    </row>
    <row r="8" customFormat="false" ht="24" hidden="false" customHeight="true" outlineLevel="0" collapsed="false">
      <c r="B8" s="10" t="s">
        <v>13</v>
      </c>
      <c r="C8" s="5" t="n">
        <v>16</v>
      </c>
      <c r="D8" s="5" t="n">
        <f aca="false">COUNTIF('Young Innovators 12-14'!F5:F20,"Done")</f>
        <v>0</v>
      </c>
      <c r="E8" s="5" t="n">
        <f aca="false">COUNTIF('Young Innovators 12-14'!F5:F20,"Planned")</f>
        <v>0</v>
      </c>
      <c r="F8" s="5" t="n">
        <f aca="false">COUNTIF('Young Innovators 12-14'!F5:F20,"Postponed")</f>
        <v>0</v>
      </c>
      <c r="G8" s="5" t="n">
        <f aca="false">COUNTIF('Young Innovators 12-14'!F5:F20,"Cancelled")</f>
        <v>0</v>
      </c>
      <c r="H8" s="6" t="n">
        <f aca="false">IFERROR(D8/(C8-G8),0)</f>
        <v>0</v>
      </c>
      <c r="I8" s="7" t="n">
        <f aca="false">H8</f>
        <v>0</v>
      </c>
      <c r="J8" s="8" t="str">
        <f aca="false">IF(COUNT('Young Innovators 12-14'!G5:G20)=0,"-",MAX('Young Innovators 12-14'!G5:G20))</f>
        <v>-</v>
      </c>
    </row>
    <row r="9" customFormat="false" ht="24" hidden="false" customHeight="true" outlineLevel="0" collapsed="false">
      <c r="B9" s="11" t="s">
        <v>14</v>
      </c>
      <c r="C9" s="5" t="n">
        <v>16</v>
      </c>
      <c r="D9" s="5" t="n">
        <f aca="false">COUNTIF('Tech Leaders 15-17'!F5:F20,"Done")</f>
        <v>0</v>
      </c>
      <c r="E9" s="5" t="n">
        <f aca="false">COUNTIF('Tech Leaders 15-17'!F5:F20,"Planned")</f>
        <v>0</v>
      </c>
      <c r="F9" s="5" t="n">
        <f aca="false">COUNTIF('Tech Leaders 15-17'!F5:F20,"Postponed")</f>
        <v>0</v>
      </c>
      <c r="G9" s="5" t="n">
        <f aca="false">COUNTIF('Tech Leaders 15-17'!F5:F20,"Cancelled")</f>
        <v>0</v>
      </c>
      <c r="H9" s="6" t="n">
        <f aca="false">IFERROR(D9/(C9-G9),0)</f>
        <v>0</v>
      </c>
      <c r="I9" s="7" t="n">
        <f aca="false">H9</f>
        <v>0</v>
      </c>
      <c r="J9" s="8" t="str">
        <f aca="false">IF(COUNT('Tech Leaders 15-17'!G5:G20)=0,"-",MAX('Tech Leaders 15-17'!G5:G20))</f>
        <v>-</v>
      </c>
    </row>
    <row r="10" customFormat="false" ht="15" hidden="false" customHeight="false" outlineLevel="0" collapsed="false">
      <c r="B10" s="12" t="s">
        <v>15</v>
      </c>
      <c r="C10" s="13" t="n">
        <f aca="false">SUM(C6:C9)</f>
        <v>64</v>
      </c>
      <c r="D10" s="13" t="n">
        <f aca="false">SUM(D6:D9)</f>
        <v>0</v>
      </c>
      <c r="E10" s="13" t="n">
        <f aca="false">SUM(E6:E9)</f>
        <v>0</v>
      </c>
      <c r="F10" s="13" t="n">
        <f aca="false">SUM(F6:F9)</f>
        <v>0</v>
      </c>
      <c r="G10" s="13" t="n">
        <f aca="false">SUM(G6:G9)</f>
        <v>0</v>
      </c>
      <c r="H10" s="14" t="n">
        <f aca="false">IFERROR(D10/(C10-G10),0)</f>
        <v>0</v>
      </c>
      <c r="I10" s="15" t="n">
        <f aca="false">H10</f>
        <v>0</v>
      </c>
      <c r="J10" s="16"/>
    </row>
    <row r="12" customFormat="false" ht="15" hidden="false" customHeight="false" outlineLevel="0" collapsed="false">
      <c r="B12" s="17" t="s">
        <v>16</v>
      </c>
    </row>
    <row r="13" customFormat="false" ht="15" hidden="false" customHeight="false" outlineLevel="0" collapsed="false">
      <c r="B13" s="18" t="s">
        <v>17</v>
      </c>
    </row>
    <row r="14" customFormat="false" ht="15" hidden="false" customHeight="false" outlineLevel="0" collapsed="false">
      <c r="B14" s="18" t="s">
        <v>18</v>
      </c>
    </row>
    <row r="15" customFormat="false" ht="15" hidden="false" customHeight="false" outlineLevel="0" collapsed="false">
      <c r="B15" s="18" t="s">
        <v>19</v>
      </c>
    </row>
    <row r="16" customFormat="false" ht="15" hidden="false" customHeight="false" outlineLevel="0" collapsed="false">
      <c r="B16" s="18" t="s">
        <v>20</v>
      </c>
    </row>
    <row r="17" customFormat="false" ht="15" hidden="false" customHeight="false" outlineLevel="0" collapsed="false">
      <c r="B17" s="18" t="s">
        <v>21</v>
      </c>
    </row>
    <row r="19" customFormat="false" ht="15" hidden="false" customHeight="false" outlineLevel="0" collapsed="false">
      <c r="B19" s="19" t="s">
        <v>22</v>
      </c>
    </row>
    <row r="20" customFormat="false" ht="19.4" hidden="false" customHeight="false" outlineLevel="0" collapsed="false">
      <c r="B20" s="20" t="s">
        <v>23</v>
      </c>
      <c r="C20" s="20" t="s">
        <v>24</v>
      </c>
      <c r="D20" s="20" t="s">
        <v>25</v>
      </c>
      <c r="E20" s="20" t="s">
        <v>26</v>
      </c>
      <c r="F20" s="20" t="s">
        <v>27</v>
      </c>
      <c r="G20" s="20" t="s">
        <v>28</v>
      </c>
      <c r="H20" s="20" t="s">
        <v>29</v>
      </c>
      <c r="I20" s="20" t="s">
        <v>30</v>
      </c>
      <c r="J20" s="20" t="s">
        <v>31</v>
      </c>
      <c r="K20" s="20" t="s">
        <v>32</v>
      </c>
      <c r="L20" s="20" t="s">
        <v>33</v>
      </c>
      <c r="M20" s="20" t="s">
        <v>34</v>
      </c>
      <c r="N20" s="20" t="s">
        <v>35</v>
      </c>
    </row>
    <row r="21" customFormat="false" ht="39.75" hidden="false" customHeight="true" outlineLevel="0" collapsed="false">
      <c r="B21" s="21" t="n">
        <v>4</v>
      </c>
      <c r="C21" s="21" t="s">
        <v>36</v>
      </c>
      <c r="D21" s="21" t="s">
        <v>37</v>
      </c>
      <c r="E21" s="21" t="s">
        <v>38</v>
      </c>
      <c r="F21" s="21" t="s">
        <v>39</v>
      </c>
      <c r="G21" s="21" t="s">
        <v>4</v>
      </c>
      <c r="H21" s="21" t="s">
        <v>39</v>
      </c>
      <c r="I21" s="21" t="s">
        <v>40</v>
      </c>
      <c r="J21" s="21" t="s">
        <v>41</v>
      </c>
      <c r="K21" s="21" t="n">
        <v>18</v>
      </c>
      <c r="L21" s="21" t="s">
        <v>42</v>
      </c>
      <c r="M21" s="21" t="s">
        <v>43</v>
      </c>
      <c r="N21" s="21" t="s">
        <v>44</v>
      </c>
    </row>
  </sheetData>
  <conditionalFormatting sqref="I6:I10">
    <cfRule type="dataBar" priority="2">
      <dataBar showValue="0" minLength="10" maxLength="90">
        <cfvo type="num" val="0"/>
        <cfvo type="num" val="1"/>
        <color rgb="FF2E9E5B"/>
      </dataBar>
      <extLst>
        <ext xmlns:x14="http://schemas.microsoft.com/office/spreadsheetml/2009/9/main" uri="{B025F937-C7B1-47D3-B67F-A62EFF666E3E}">
          <x14:id>{FAE97BE6-F31A-456E-823B-B03653F65327}</x14:id>
        </ext>
      </extLst>
    </cfRule>
  </conditionalFormatting>
  <hyperlinks>
    <hyperlink ref="B6" r:id="rId1" location="'Little%20Explorers%205-7'!A1" display="Little Explorers (Ages 5-7)"/>
    <hyperlink ref="B7" r:id="rId2" location="'Junior%20Makers%208-11'!A1" display="Junior Makers (Ages 8-11)"/>
    <hyperlink ref="B8" r:id="rId3" location="'Young%20Innovators%2012-14'!A1" display="Young Innovators (Ages 12-14)"/>
    <hyperlink ref="B9" r:id="rId4" location="'Tech%20Leaders%2015-17'!A1" display="Tech Leaders (Ages 15-1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FAE97BE6-F31A-456E-823B-B03653F65327}">
            <x14:dataBar minLength="10" maxLength="90" axisPosition="none" gradient="true">
              <x14:cfvo type="num">
                <xm:f>0</xm:f>
              </x14:cfvo>
              <x14:cfvo type="num">
                <xm:f>1</xm:f>
              </x14:cfvo>
              <x14:negativeFillColor rgb="FF2E9E5B"/>
              <x14:axisColor rgb="FF000000"/>
            </x14:dataBar>
          </x14:cfRule>
          <xm:sqref>I6:I10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40"/>
    <col collapsed="false" customWidth="true" hidden="false" outlineLevel="0" max="4" min="4" style="0" width="24"/>
    <col collapsed="false" customWidth="true" hidden="false" outlineLevel="0" max="5" min="5" style="0" width="13"/>
    <col collapsed="false" customWidth="true" hidden="false" outlineLevel="0" max="7" min="6" style="0" width="14"/>
    <col collapsed="false" customWidth="true" hidden="false" outlineLevel="0" max="8" min="8" style="0" width="15"/>
    <col collapsed="false" customWidth="true" hidden="false" outlineLevel="0" max="9" min="9" style="0" width="16"/>
    <col collapsed="false" customWidth="true" hidden="false" outlineLevel="0" max="10" min="10" style="0" width="11"/>
    <col collapsed="false" customWidth="true" hidden="false" outlineLevel="0" max="11" min="11" style="0" width="10"/>
    <col collapsed="false" customWidth="true" hidden="false" outlineLevel="0" max="12" min="12" style="0" width="34"/>
    <col collapsed="false" customWidth="true" hidden="false" outlineLevel="0" max="13" min="13" style="0" width="44"/>
  </cols>
  <sheetData>
    <row r="1" customFormat="false" ht="17.35" hidden="false" customHeight="false" outlineLevel="0" collapsed="false">
      <c r="A1" s="22" t="s">
        <v>45</v>
      </c>
    </row>
    <row r="2" customFormat="false" ht="15" hidden="false" customHeight="false" outlineLevel="0" collapsed="false">
      <c r="A2" s="2" t="s">
        <v>46</v>
      </c>
    </row>
    <row r="4" customFormat="false" ht="30" hidden="false" customHeight="true" outlineLevel="0" collapsed="false">
      <c r="A4" s="23" t="s">
        <v>23</v>
      </c>
      <c r="B4" s="23" t="s">
        <v>24</v>
      </c>
      <c r="C4" s="23" t="s">
        <v>25</v>
      </c>
      <c r="D4" s="23" t="s">
        <v>26</v>
      </c>
      <c r="E4" s="23" t="s">
        <v>27</v>
      </c>
      <c r="F4" s="23" t="s">
        <v>28</v>
      </c>
      <c r="G4" s="23" t="s">
        <v>29</v>
      </c>
      <c r="H4" s="23" t="s">
        <v>30</v>
      </c>
      <c r="I4" s="23" t="s">
        <v>31</v>
      </c>
      <c r="J4" s="23" t="s">
        <v>32</v>
      </c>
      <c r="K4" s="23" t="s">
        <v>33</v>
      </c>
      <c r="L4" s="23" t="s">
        <v>34</v>
      </c>
      <c r="M4" s="23" t="s">
        <v>35</v>
      </c>
    </row>
    <row r="5" customFormat="false" ht="30" hidden="false" customHeight="true" outlineLevel="0" collapsed="false">
      <c r="A5" s="5" t="n">
        <v>1</v>
      </c>
      <c r="B5" s="24" t="s">
        <v>47</v>
      </c>
      <c r="C5" s="25" t="s">
        <v>48</v>
      </c>
      <c r="D5" s="26" t="s">
        <v>49</v>
      </c>
      <c r="E5" s="27"/>
      <c r="F5" s="28" t="s">
        <v>50</v>
      </c>
      <c r="G5" s="27"/>
      <c r="H5" s="28"/>
      <c r="I5" s="28"/>
      <c r="J5" s="28"/>
      <c r="K5" s="28" t="s">
        <v>51</v>
      </c>
      <c r="L5" s="29"/>
      <c r="M5" s="29"/>
    </row>
    <row r="6" customFormat="false" ht="30" hidden="false" customHeight="true" outlineLevel="0" collapsed="false">
      <c r="A6" s="5" t="n">
        <v>2</v>
      </c>
      <c r="B6" s="24" t="s">
        <v>52</v>
      </c>
      <c r="C6" s="25" t="s">
        <v>53</v>
      </c>
      <c r="D6" s="26" t="s">
        <v>49</v>
      </c>
      <c r="E6" s="27"/>
      <c r="F6" s="28" t="s">
        <v>50</v>
      </c>
      <c r="G6" s="27"/>
      <c r="H6" s="28"/>
      <c r="I6" s="28"/>
      <c r="J6" s="28"/>
      <c r="K6" s="28" t="s">
        <v>51</v>
      </c>
      <c r="L6" s="29"/>
      <c r="M6" s="29"/>
    </row>
    <row r="7" customFormat="false" ht="30" hidden="false" customHeight="true" outlineLevel="0" collapsed="false">
      <c r="A7" s="5" t="n">
        <v>3</v>
      </c>
      <c r="B7" s="24" t="s">
        <v>54</v>
      </c>
      <c r="C7" s="25" t="s">
        <v>55</v>
      </c>
      <c r="D7" s="26" t="s">
        <v>56</v>
      </c>
      <c r="E7" s="27"/>
      <c r="F7" s="28" t="s">
        <v>50</v>
      </c>
      <c r="G7" s="27"/>
      <c r="H7" s="28"/>
      <c r="I7" s="28"/>
      <c r="J7" s="28"/>
      <c r="K7" s="28" t="s">
        <v>51</v>
      </c>
      <c r="L7" s="29"/>
      <c r="M7" s="29"/>
    </row>
    <row r="8" customFormat="false" ht="30" hidden="false" customHeight="true" outlineLevel="0" collapsed="false">
      <c r="A8" s="5" t="n">
        <v>4</v>
      </c>
      <c r="B8" s="24" t="s">
        <v>36</v>
      </c>
      <c r="C8" s="25" t="s">
        <v>37</v>
      </c>
      <c r="D8" s="26" t="s">
        <v>38</v>
      </c>
      <c r="E8" s="27"/>
      <c r="F8" s="28" t="s">
        <v>50</v>
      </c>
      <c r="G8" s="27"/>
      <c r="H8" s="28"/>
      <c r="I8" s="28"/>
      <c r="J8" s="28"/>
      <c r="K8" s="28" t="s">
        <v>51</v>
      </c>
      <c r="L8" s="29"/>
      <c r="M8" s="29"/>
    </row>
    <row r="9" customFormat="false" ht="30" hidden="false" customHeight="true" outlineLevel="0" collapsed="false">
      <c r="A9" s="5" t="n">
        <v>5</v>
      </c>
      <c r="B9" s="24" t="s">
        <v>57</v>
      </c>
      <c r="C9" s="25" t="s">
        <v>58</v>
      </c>
      <c r="D9" s="26" t="s">
        <v>59</v>
      </c>
      <c r="E9" s="27"/>
      <c r="F9" s="28" t="s">
        <v>50</v>
      </c>
      <c r="G9" s="27"/>
      <c r="H9" s="28"/>
      <c r="I9" s="28"/>
      <c r="J9" s="28"/>
      <c r="K9" s="28" t="s">
        <v>51</v>
      </c>
      <c r="L9" s="29"/>
      <c r="M9" s="29"/>
    </row>
    <row r="10" customFormat="false" ht="30" hidden="false" customHeight="true" outlineLevel="0" collapsed="false">
      <c r="A10" s="5" t="n">
        <v>6</v>
      </c>
      <c r="B10" s="24" t="s">
        <v>60</v>
      </c>
      <c r="C10" s="25" t="s">
        <v>61</v>
      </c>
      <c r="D10" s="26" t="s">
        <v>59</v>
      </c>
      <c r="E10" s="27"/>
      <c r="F10" s="28" t="s">
        <v>50</v>
      </c>
      <c r="G10" s="27"/>
      <c r="H10" s="28"/>
      <c r="I10" s="28"/>
      <c r="J10" s="28"/>
      <c r="K10" s="28" t="s">
        <v>51</v>
      </c>
      <c r="L10" s="29"/>
      <c r="M10" s="29"/>
    </row>
    <row r="11" customFormat="false" ht="30" hidden="false" customHeight="true" outlineLevel="0" collapsed="false">
      <c r="A11" s="5" t="n">
        <v>7</v>
      </c>
      <c r="B11" s="24" t="s">
        <v>62</v>
      </c>
      <c r="C11" s="25" t="s">
        <v>63</v>
      </c>
      <c r="D11" s="26" t="s">
        <v>59</v>
      </c>
      <c r="E11" s="27"/>
      <c r="F11" s="28" t="s">
        <v>50</v>
      </c>
      <c r="G11" s="27"/>
      <c r="H11" s="28"/>
      <c r="I11" s="28"/>
      <c r="J11" s="28"/>
      <c r="K11" s="28" t="s">
        <v>51</v>
      </c>
      <c r="L11" s="29"/>
      <c r="M11" s="29"/>
    </row>
    <row r="12" customFormat="false" ht="30" hidden="false" customHeight="true" outlineLevel="0" collapsed="false">
      <c r="A12" s="5" t="n">
        <v>8</v>
      </c>
      <c r="B12" s="24" t="s">
        <v>64</v>
      </c>
      <c r="C12" s="25" t="s">
        <v>65</v>
      </c>
      <c r="D12" s="26" t="s">
        <v>66</v>
      </c>
      <c r="E12" s="27"/>
      <c r="F12" s="28" t="s">
        <v>50</v>
      </c>
      <c r="G12" s="27"/>
      <c r="H12" s="28"/>
      <c r="I12" s="28"/>
      <c r="J12" s="28"/>
      <c r="K12" s="28" t="s">
        <v>51</v>
      </c>
      <c r="L12" s="29"/>
      <c r="M12" s="29"/>
    </row>
    <row r="13" customFormat="false" ht="30" hidden="false" customHeight="true" outlineLevel="0" collapsed="false">
      <c r="A13" s="5" t="n">
        <v>9</v>
      </c>
      <c r="B13" s="24" t="s">
        <v>67</v>
      </c>
      <c r="C13" s="25" t="s">
        <v>68</v>
      </c>
      <c r="D13" s="26" t="s">
        <v>69</v>
      </c>
      <c r="E13" s="27"/>
      <c r="F13" s="28" t="s">
        <v>50</v>
      </c>
      <c r="G13" s="27"/>
      <c r="H13" s="28"/>
      <c r="I13" s="28"/>
      <c r="J13" s="28"/>
      <c r="K13" s="28" t="s">
        <v>51</v>
      </c>
      <c r="L13" s="29"/>
      <c r="M13" s="29"/>
    </row>
    <row r="14" customFormat="false" ht="30" hidden="false" customHeight="true" outlineLevel="0" collapsed="false">
      <c r="A14" s="5" t="n">
        <v>10</v>
      </c>
      <c r="B14" s="24" t="s">
        <v>70</v>
      </c>
      <c r="C14" s="25" t="s">
        <v>71</v>
      </c>
      <c r="D14" s="26" t="s">
        <v>69</v>
      </c>
      <c r="E14" s="27"/>
      <c r="F14" s="28" t="s">
        <v>50</v>
      </c>
      <c r="G14" s="27"/>
      <c r="H14" s="28"/>
      <c r="I14" s="28"/>
      <c r="J14" s="28"/>
      <c r="K14" s="28" t="s">
        <v>51</v>
      </c>
      <c r="L14" s="29"/>
      <c r="M14" s="29"/>
    </row>
    <row r="15" customFormat="false" ht="30" hidden="false" customHeight="true" outlineLevel="0" collapsed="false">
      <c r="A15" s="5" t="n">
        <v>11</v>
      </c>
      <c r="B15" s="24" t="s">
        <v>72</v>
      </c>
      <c r="C15" s="25" t="s">
        <v>73</v>
      </c>
      <c r="D15" s="26" t="s">
        <v>74</v>
      </c>
      <c r="E15" s="27"/>
      <c r="F15" s="28" t="s">
        <v>50</v>
      </c>
      <c r="G15" s="27"/>
      <c r="H15" s="28"/>
      <c r="I15" s="28"/>
      <c r="J15" s="28"/>
      <c r="K15" s="28" t="s">
        <v>51</v>
      </c>
      <c r="L15" s="29"/>
      <c r="M15" s="29"/>
    </row>
    <row r="16" customFormat="false" ht="30" hidden="false" customHeight="true" outlineLevel="0" collapsed="false">
      <c r="A16" s="5" t="n">
        <v>12</v>
      </c>
      <c r="B16" s="24" t="s">
        <v>75</v>
      </c>
      <c r="C16" s="25" t="s">
        <v>76</v>
      </c>
      <c r="D16" s="26" t="s">
        <v>77</v>
      </c>
      <c r="E16" s="27"/>
      <c r="F16" s="28" t="s">
        <v>50</v>
      </c>
      <c r="G16" s="27"/>
      <c r="H16" s="28"/>
      <c r="I16" s="28"/>
      <c r="J16" s="28"/>
      <c r="K16" s="28" t="s">
        <v>51</v>
      </c>
      <c r="L16" s="29"/>
      <c r="M16" s="29"/>
    </row>
    <row r="17" customFormat="false" ht="30" hidden="false" customHeight="true" outlineLevel="0" collapsed="false">
      <c r="A17" s="5" t="n">
        <v>13</v>
      </c>
      <c r="B17" s="24" t="s">
        <v>78</v>
      </c>
      <c r="C17" s="25" t="s">
        <v>79</v>
      </c>
      <c r="D17" s="26" t="s">
        <v>38</v>
      </c>
      <c r="E17" s="27"/>
      <c r="F17" s="28" t="s">
        <v>50</v>
      </c>
      <c r="G17" s="27"/>
      <c r="H17" s="28"/>
      <c r="I17" s="28"/>
      <c r="J17" s="28"/>
      <c r="K17" s="28" t="s">
        <v>51</v>
      </c>
      <c r="L17" s="29"/>
      <c r="M17" s="29"/>
    </row>
    <row r="18" customFormat="false" ht="30" hidden="false" customHeight="true" outlineLevel="0" collapsed="false">
      <c r="A18" s="5" t="n">
        <v>14</v>
      </c>
      <c r="B18" s="24" t="s">
        <v>80</v>
      </c>
      <c r="C18" s="25" t="s">
        <v>81</v>
      </c>
      <c r="D18" s="26" t="s">
        <v>82</v>
      </c>
      <c r="E18" s="27"/>
      <c r="F18" s="28" t="s">
        <v>50</v>
      </c>
      <c r="G18" s="27"/>
      <c r="H18" s="28"/>
      <c r="I18" s="28"/>
      <c r="J18" s="28"/>
      <c r="K18" s="28" t="s">
        <v>51</v>
      </c>
      <c r="L18" s="29"/>
      <c r="M18" s="29"/>
    </row>
    <row r="19" customFormat="false" ht="30" hidden="false" customHeight="true" outlineLevel="0" collapsed="false">
      <c r="A19" s="5" t="n">
        <v>15</v>
      </c>
      <c r="B19" s="24" t="s">
        <v>83</v>
      </c>
      <c r="C19" s="25" t="s">
        <v>84</v>
      </c>
      <c r="D19" s="26" t="s">
        <v>82</v>
      </c>
      <c r="E19" s="27"/>
      <c r="F19" s="28" t="s">
        <v>50</v>
      </c>
      <c r="G19" s="27"/>
      <c r="H19" s="28"/>
      <c r="I19" s="28"/>
      <c r="J19" s="28"/>
      <c r="K19" s="28" t="s">
        <v>51</v>
      </c>
      <c r="L19" s="29"/>
      <c r="M19" s="29"/>
    </row>
    <row r="20" customFormat="false" ht="30" hidden="false" customHeight="true" outlineLevel="0" collapsed="false">
      <c r="A20" s="5" t="n">
        <v>16</v>
      </c>
      <c r="B20" s="24" t="s">
        <v>85</v>
      </c>
      <c r="C20" s="25" t="s">
        <v>86</v>
      </c>
      <c r="D20" s="26" t="s">
        <v>87</v>
      </c>
      <c r="E20" s="27"/>
      <c r="F20" s="28" t="s">
        <v>50</v>
      </c>
      <c r="G20" s="27"/>
      <c r="H20" s="28"/>
      <c r="I20" s="28"/>
      <c r="J20" s="28"/>
      <c r="K20" s="28" t="s">
        <v>51</v>
      </c>
      <c r="L20" s="29"/>
      <c r="M20" s="29"/>
    </row>
    <row r="21" customFormat="false" ht="30" hidden="false" customHeight="true" outlineLevel="0" collapsed="false">
      <c r="A21" s="5" t="s">
        <v>88</v>
      </c>
      <c r="B21" s="24" t="s">
        <v>89</v>
      </c>
      <c r="C21" s="25" t="s">
        <v>90</v>
      </c>
      <c r="D21" s="26" t="s">
        <v>91</v>
      </c>
      <c r="E21" s="27"/>
      <c r="F21" s="28" t="s">
        <v>50</v>
      </c>
      <c r="G21" s="27"/>
      <c r="H21" s="28"/>
      <c r="I21" s="28"/>
      <c r="J21" s="28"/>
      <c r="K21" s="28" t="s">
        <v>51</v>
      </c>
      <c r="L21" s="29"/>
      <c r="M21" s="29"/>
    </row>
    <row r="22" customFormat="false" ht="30" hidden="false" customHeight="true" outlineLevel="0" collapsed="false">
      <c r="A22" s="5" t="s">
        <v>92</v>
      </c>
      <c r="B22" s="24" t="s">
        <v>93</v>
      </c>
      <c r="C22" s="25" t="s">
        <v>94</v>
      </c>
      <c r="D22" s="26" t="s">
        <v>91</v>
      </c>
      <c r="E22" s="27"/>
      <c r="F22" s="28" t="s">
        <v>50</v>
      </c>
      <c r="G22" s="27"/>
      <c r="H22" s="28"/>
      <c r="I22" s="28"/>
      <c r="J22" s="28"/>
      <c r="K22" s="28" t="s">
        <v>51</v>
      </c>
      <c r="L22" s="29"/>
      <c r="M22" s="29"/>
    </row>
    <row r="24" customFormat="false" ht="15" hidden="false" customHeight="false" outlineLevel="0" collapsed="false">
      <c r="C24" s="30" t="s">
        <v>95</v>
      </c>
      <c r="D24" s="31" t="str">
        <f aca="false">COUNTIF(F5:F20,"Done")&amp;" of 16"</f>
        <v>0 of 16</v>
      </c>
    </row>
    <row r="25" customFormat="false" ht="15" hidden="false" customHeight="false" outlineLevel="0" collapsed="false">
      <c r="C25" s="30" t="s">
        <v>96</v>
      </c>
      <c r="D25" s="31" t="str">
        <f aca="false">IFERROR(ROUND(AVERAGEIF(F5:F20,"Done",J5:J20),1),"-")</f>
        <v>-</v>
      </c>
    </row>
  </sheetData>
  <autoFilter ref="A4:M22"/>
  <conditionalFormatting sqref="A5:M22">
    <cfRule type="expression" priority="2" aboveAverage="0" equalAverage="0" bottom="0" percent="0" rank="0" text="" dxfId="4">
      <formula>$F5="Done"</formula>
    </cfRule>
    <cfRule type="expression" priority="3" aboveAverage="0" equalAverage="0" bottom="0" percent="0" rank="0" text="" dxfId="5">
      <formula>$F5="Postponed"</formula>
    </cfRule>
    <cfRule type="expression" priority="4" aboveAverage="0" equalAverage="0" bottom="0" percent="0" rank="0" text="" dxfId="6">
      <formula>$F5="Cancelled"</formula>
    </cfRule>
    <cfRule type="expression" priority="5" aboveAverage="0" equalAverage="0" bottom="0" percent="0" rank="0" text="" dxfId="7">
      <formula>$F5="Planned"</formula>
    </cfRule>
  </conditionalFormatting>
  <dataValidations count="4">
    <dataValidation allowBlank="true" errorStyle="stop" operator="between" showDropDown="false" showErrorMessage="false" showInputMessage="false" sqref="F5:F22" type="list">
      <formula1>"Not started,Planned,Done,Postponed,Cancelled"</formula1>
      <formula2>0</formula2>
    </dataValidation>
    <dataValidation allowBlank="true" errorStyle="stop" operator="between" showDropDown="false" showErrorMessage="false" showInputMessage="false" sqref="K5:K22" type="list">
      <formula1>"Yes,No,In progress"</formula1>
      <formula2>0</formula2>
    </dataValidation>
    <dataValidation allowBlank="true" errorStyle="stop" operator="greaterThan" showDropDown="false" showErrorMessage="false" showInputMessage="false" sqref="E5:E22 G5:G22" type="date">
      <formula1>44927</formula1>
      <formula2>0</formula2>
    </dataValidation>
    <dataValidation allowBlank="true" errorStyle="stop" operator="between" showDropDown="false" showErrorMessage="false" showInputMessage="false" sqref="J5:J22" type="whole">
      <formula1>0</formula1>
      <formula2>60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40"/>
    <col collapsed="false" customWidth="true" hidden="false" outlineLevel="0" max="4" min="4" style="0" width="24"/>
    <col collapsed="false" customWidth="true" hidden="false" outlineLevel="0" max="5" min="5" style="0" width="13"/>
    <col collapsed="false" customWidth="true" hidden="false" outlineLevel="0" max="7" min="6" style="0" width="14"/>
    <col collapsed="false" customWidth="true" hidden="false" outlineLevel="0" max="8" min="8" style="0" width="15"/>
    <col collapsed="false" customWidth="true" hidden="false" outlineLevel="0" max="9" min="9" style="0" width="16"/>
    <col collapsed="false" customWidth="true" hidden="false" outlineLevel="0" max="10" min="10" style="0" width="11"/>
    <col collapsed="false" customWidth="true" hidden="false" outlineLevel="0" max="11" min="11" style="0" width="10"/>
    <col collapsed="false" customWidth="true" hidden="false" outlineLevel="0" max="12" min="12" style="0" width="34"/>
    <col collapsed="false" customWidth="true" hidden="false" outlineLevel="0" max="13" min="13" style="0" width="44"/>
  </cols>
  <sheetData>
    <row r="1" customFormat="false" ht="17.35" hidden="false" customHeight="false" outlineLevel="0" collapsed="false">
      <c r="A1" s="32" t="s">
        <v>97</v>
      </c>
    </row>
    <row r="2" customFormat="false" ht="15" hidden="false" customHeight="false" outlineLevel="0" collapsed="false">
      <c r="A2" s="2" t="s">
        <v>46</v>
      </c>
    </row>
    <row r="4" customFormat="false" ht="30" hidden="false" customHeight="true" outlineLevel="0" collapsed="false">
      <c r="A4" s="33" t="s">
        <v>23</v>
      </c>
      <c r="B4" s="33" t="s">
        <v>24</v>
      </c>
      <c r="C4" s="33" t="s">
        <v>25</v>
      </c>
      <c r="D4" s="33" t="s">
        <v>26</v>
      </c>
      <c r="E4" s="33" t="s">
        <v>27</v>
      </c>
      <c r="F4" s="33" t="s">
        <v>28</v>
      </c>
      <c r="G4" s="33" t="s">
        <v>29</v>
      </c>
      <c r="H4" s="33" t="s">
        <v>30</v>
      </c>
      <c r="I4" s="33" t="s">
        <v>31</v>
      </c>
      <c r="J4" s="33" t="s">
        <v>32</v>
      </c>
      <c r="K4" s="33" t="s">
        <v>33</v>
      </c>
      <c r="L4" s="33" t="s">
        <v>34</v>
      </c>
      <c r="M4" s="33" t="s">
        <v>35</v>
      </c>
    </row>
    <row r="5" customFormat="false" ht="30" hidden="false" customHeight="true" outlineLevel="0" collapsed="false">
      <c r="A5" s="5" t="n">
        <v>1</v>
      </c>
      <c r="B5" s="34" t="s">
        <v>98</v>
      </c>
      <c r="C5" s="25" t="s">
        <v>99</v>
      </c>
      <c r="D5" s="26" t="s">
        <v>49</v>
      </c>
      <c r="E5" s="27"/>
      <c r="F5" s="28" t="s">
        <v>50</v>
      </c>
      <c r="G5" s="27"/>
      <c r="H5" s="28"/>
      <c r="I5" s="28"/>
      <c r="J5" s="28"/>
      <c r="K5" s="28" t="s">
        <v>51</v>
      </c>
      <c r="L5" s="29"/>
      <c r="M5" s="29"/>
    </row>
    <row r="6" customFormat="false" ht="30" hidden="false" customHeight="true" outlineLevel="0" collapsed="false">
      <c r="A6" s="5" t="n">
        <v>2</v>
      </c>
      <c r="B6" s="34" t="s">
        <v>100</v>
      </c>
      <c r="C6" s="25" t="s">
        <v>101</v>
      </c>
      <c r="D6" s="26" t="s">
        <v>38</v>
      </c>
      <c r="E6" s="27"/>
      <c r="F6" s="28" t="s">
        <v>50</v>
      </c>
      <c r="G6" s="27"/>
      <c r="H6" s="28"/>
      <c r="I6" s="28"/>
      <c r="J6" s="28"/>
      <c r="K6" s="28" t="s">
        <v>51</v>
      </c>
      <c r="L6" s="29"/>
      <c r="M6" s="29"/>
    </row>
    <row r="7" customFormat="false" ht="30" hidden="false" customHeight="true" outlineLevel="0" collapsed="false">
      <c r="A7" s="5" t="n">
        <v>3</v>
      </c>
      <c r="B7" s="34" t="s">
        <v>102</v>
      </c>
      <c r="C7" s="25" t="s">
        <v>103</v>
      </c>
      <c r="D7" s="26" t="s">
        <v>59</v>
      </c>
      <c r="E7" s="27"/>
      <c r="F7" s="28" t="s">
        <v>50</v>
      </c>
      <c r="G7" s="27"/>
      <c r="H7" s="28"/>
      <c r="I7" s="28"/>
      <c r="J7" s="28"/>
      <c r="K7" s="28" t="s">
        <v>51</v>
      </c>
      <c r="L7" s="29"/>
      <c r="M7" s="29"/>
    </row>
    <row r="8" customFormat="false" ht="30" hidden="false" customHeight="true" outlineLevel="0" collapsed="false">
      <c r="A8" s="5" t="n">
        <v>4</v>
      </c>
      <c r="B8" s="34" t="s">
        <v>104</v>
      </c>
      <c r="C8" s="25" t="s">
        <v>105</v>
      </c>
      <c r="D8" s="26" t="s">
        <v>69</v>
      </c>
      <c r="E8" s="27"/>
      <c r="F8" s="28" t="s">
        <v>50</v>
      </c>
      <c r="G8" s="27"/>
      <c r="H8" s="28"/>
      <c r="I8" s="28"/>
      <c r="J8" s="28"/>
      <c r="K8" s="28" t="s">
        <v>51</v>
      </c>
      <c r="L8" s="29"/>
      <c r="M8" s="29"/>
    </row>
    <row r="9" customFormat="false" ht="30" hidden="false" customHeight="true" outlineLevel="0" collapsed="false">
      <c r="A9" s="5" t="n">
        <v>5</v>
      </c>
      <c r="B9" s="34" t="s">
        <v>106</v>
      </c>
      <c r="C9" s="25" t="s">
        <v>107</v>
      </c>
      <c r="D9" s="26" t="s">
        <v>59</v>
      </c>
      <c r="E9" s="27"/>
      <c r="F9" s="28" t="s">
        <v>50</v>
      </c>
      <c r="G9" s="27"/>
      <c r="H9" s="28"/>
      <c r="I9" s="28"/>
      <c r="J9" s="28"/>
      <c r="K9" s="28" t="s">
        <v>51</v>
      </c>
      <c r="L9" s="29"/>
      <c r="M9" s="29"/>
    </row>
    <row r="10" customFormat="false" ht="30" hidden="false" customHeight="true" outlineLevel="0" collapsed="false">
      <c r="A10" s="5" t="n">
        <v>6</v>
      </c>
      <c r="B10" s="34" t="s">
        <v>108</v>
      </c>
      <c r="C10" s="25" t="s">
        <v>109</v>
      </c>
      <c r="D10" s="26" t="s">
        <v>66</v>
      </c>
      <c r="E10" s="27"/>
      <c r="F10" s="28" t="s">
        <v>50</v>
      </c>
      <c r="G10" s="27"/>
      <c r="H10" s="28"/>
      <c r="I10" s="28"/>
      <c r="J10" s="28"/>
      <c r="K10" s="28" t="s">
        <v>51</v>
      </c>
      <c r="L10" s="29"/>
      <c r="M10" s="29"/>
    </row>
    <row r="11" customFormat="false" ht="30" hidden="false" customHeight="true" outlineLevel="0" collapsed="false">
      <c r="A11" s="5" t="n">
        <v>7</v>
      </c>
      <c r="B11" s="34" t="s">
        <v>110</v>
      </c>
      <c r="C11" s="25" t="s">
        <v>111</v>
      </c>
      <c r="D11" s="26" t="s">
        <v>69</v>
      </c>
      <c r="E11" s="27"/>
      <c r="F11" s="28" t="s">
        <v>50</v>
      </c>
      <c r="G11" s="27"/>
      <c r="H11" s="28"/>
      <c r="I11" s="28"/>
      <c r="J11" s="28"/>
      <c r="K11" s="28" t="s">
        <v>51</v>
      </c>
      <c r="L11" s="29"/>
      <c r="M11" s="29"/>
    </row>
    <row r="12" customFormat="false" ht="30" hidden="false" customHeight="true" outlineLevel="0" collapsed="false">
      <c r="A12" s="5" t="n">
        <v>8</v>
      </c>
      <c r="B12" s="34" t="s">
        <v>112</v>
      </c>
      <c r="C12" s="25" t="s">
        <v>113</v>
      </c>
      <c r="D12" s="26" t="s">
        <v>56</v>
      </c>
      <c r="E12" s="27"/>
      <c r="F12" s="28" t="s">
        <v>50</v>
      </c>
      <c r="G12" s="27"/>
      <c r="H12" s="28"/>
      <c r="I12" s="28"/>
      <c r="J12" s="28"/>
      <c r="K12" s="28" t="s">
        <v>51</v>
      </c>
      <c r="L12" s="29"/>
      <c r="M12" s="29"/>
    </row>
    <row r="13" customFormat="false" ht="30" hidden="false" customHeight="true" outlineLevel="0" collapsed="false">
      <c r="A13" s="5" t="n">
        <v>9</v>
      </c>
      <c r="B13" s="34" t="s">
        <v>114</v>
      </c>
      <c r="C13" s="25" t="s">
        <v>115</v>
      </c>
      <c r="D13" s="26" t="s">
        <v>66</v>
      </c>
      <c r="E13" s="27"/>
      <c r="F13" s="28" t="s">
        <v>50</v>
      </c>
      <c r="G13" s="27"/>
      <c r="H13" s="28"/>
      <c r="I13" s="28"/>
      <c r="J13" s="28"/>
      <c r="K13" s="28" t="s">
        <v>51</v>
      </c>
      <c r="L13" s="29"/>
      <c r="M13" s="29"/>
    </row>
    <row r="14" customFormat="false" ht="30" hidden="false" customHeight="true" outlineLevel="0" collapsed="false">
      <c r="A14" s="5" t="n">
        <v>10</v>
      </c>
      <c r="B14" s="34" t="s">
        <v>116</v>
      </c>
      <c r="C14" s="25" t="s">
        <v>117</v>
      </c>
      <c r="D14" s="26" t="s">
        <v>74</v>
      </c>
      <c r="E14" s="27"/>
      <c r="F14" s="28" t="s">
        <v>50</v>
      </c>
      <c r="G14" s="27"/>
      <c r="H14" s="28"/>
      <c r="I14" s="28"/>
      <c r="J14" s="28"/>
      <c r="K14" s="28" t="s">
        <v>51</v>
      </c>
      <c r="L14" s="29"/>
      <c r="M14" s="29"/>
    </row>
    <row r="15" customFormat="false" ht="30" hidden="false" customHeight="true" outlineLevel="0" collapsed="false">
      <c r="A15" s="5" t="n">
        <v>11</v>
      </c>
      <c r="B15" s="34" t="s">
        <v>118</v>
      </c>
      <c r="C15" s="25" t="s">
        <v>119</v>
      </c>
      <c r="D15" s="26" t="s">
        <v>69</v>
      </c>
      <c r="E15" s="27"/>
      <c r="F15" s="28" t="s">
        <v>50</v>
      </c>
      <c r="G15" s="27"/>
      <c r="H15" s="28"/>
      <c r="I15" s="28"/>
      <c r="J15" s="28"/>
      <c r="K15" s="28" t="s">
        <v>51</v>
      </c>
      <c r="L15" s="29"/>
      <c r="M15" s="29"/>
    </row>
    <row r="16" customFormat="false" ht="30" hidden="false" customHeight="true" outlineLevel="0" collapsed="false">
      <c r="A16" s="5" t="n">
        <v>12</v>
      </c>
      <c r="B16" s="34" t="s">
        <v>120</v>
      </c>
      <c r="C16" s="25" t="s">
        <v>121</v>
      </c>
      <c r="D16" s="26" t="s">
        <v>77</v>
      </c>
      <c r="E16" s="27"/>
      <c r="F16" s="28" t="s">
        <v>50</v>
      </c>
      <c r="G16" s="27"/>
      <c r="H16" s="28"/>
      <c r="I16" s="28"/>
      <c r="J16" s="28"/>
      <c r="K16" s="28" t="s">
        <v>51</v>
      </c>
      <c r="L16" s="29"/>
      <c r="M16" s="29"/>
    </row>
    <row r="17" customFormat="false" ht="30" hidden="false" customHeight="true" outlineLevel="0" collapsed="false">
      <c r="A17" s="5" t="n">
        <v>13</v>
      </c>
      <c r="B17" s="34" t="s">
        <v>122</v>
      </c>
      <c r="C17" s="25" t="s">
        <v>123</v>
      </c>
      <c r="D17" s="26" t="s">
        <v>59</v>
      </c>
      <c r="E17" s="27"/>
      <c r="F17" s="28" t="s">
        <v>50</v>
      </c>
      <c r="G17" s="27"/>
      <c r="H17" s="28"/>
      <c r="I17" s="28"/>
      <c r="J17" s="28"/>
      <c r="K17" s="28" t="s">
        <v>51</v>
      </c>
      <c r="L17" s="29"/>
      <c r="M17" s="29"/>
    </row>
    <row r="18" customFormat="false" ht="30" hidden="false" customHeight="true" outlineLevel="0" collapsed="false">
      <c r="A18" s="5" t="n">
        <v>14</v>
      </c>
      <c r="B18" s="34" t="s">
        <v>124</v>
      </c>
      <c r="C18" s="25" t="s">
        <v>125</v>
      </c>
      <c r="D18" s="26" t="s">
        <v>82</v>
      </c>
      <c r="E18" s="27"/>
      <c r="F18" s="28" t="s">
        <v>50</v>
      </c>
      <c r="G18" s="27"/>
      <c r="H18" s="28"/>
      <c r="I18" s="28"/>
      <c r="J18" s="28"/>
      <c r="K18" s="28" t="s">
        <v>51</v>
      </c>
      <c r="L18" s="29"/>
      <c r="M18" s="29"/>
    </row>
    <row r="19" customFormat="false" ht="30" hidden="false" customHeight="true" outlineLevel="0" collapsed="false">
      <c r="A19" s="5" t="n">
        <v>15</v>
      </c>
      <c r="B19" s="34" t="s">
        <v>126</v>
      </c>
      <c r="C19" s="25" t="s">
        <v>127</v>
      </c>
      <c r="D19" s="26" t="s">
        <v>82</v>
      </c>
      <c r="E19" s="27"/>
      <c r="F19" s="28" t="s">
        <v>50</v>
      </c>
      <c r="G19" s="27"/>
      <c r="H19" s="28"/>
      <c r="I19" s="28"/>
      <c r="J19" s="28"/>
      <c r="K19" s="28" t="s">
        <v>51</v>
      </c>
      <c r="L19" s="29"/>
      <c r="M19" s="29"/>
    </row>
    <row r="20" customFormat="false" ht="30" hidden="false" customHeight="true" outlineLevel="0" collapsed="false">
      <c r="A20" s="5" t="n">
        <v>16</v>
      </c>
      <c r="B20" s="34" t="s">
        <v>128</v>
      </c>
      <c r="C20" s="25" t="s">
        <v>129</v>
      </c>
      <c r="D20" s="26" t="s">
        <v>87</v>
      </c>
      <c r="E20" s="27"/>
      <c r="F20" s="28" t="s">
        <v>50</v>
      </c>
      <c r="G20" s="27"/>
      <c r="H20" s="28"/>
      <c r="I20" s="28"/>
      <c r="J20" s="28"/>
      <c r="K20" s="28" t="s">
        <v>51</v>
      </c>
      <c r="L20" s="29"/>
      <c r="M20" s="29"/>
    </row>
    <row r="21" customFormat="false" ht="30" hidden="false" customHeight="true" outlineLevel="0" collapsed="false">
      <c r="A21" s="5" t="s">
        <v>88</v>
      </c>
      <c r="B21" s="34" t="s">
        <v>89</v>
      </c>
      <c r="C21" s="25" t="s">
        <v>90</v>
      </c>
      <c r="D21" s="26" t="s">
        <v>91</v>
      </c>
      <c r="E21" s="27"/>
      <c r="F21" s="28" t="s">
        <v>50</v>
      </c>
      <c r="G21" s="27"/>
      <c r="H21" s="28"/>
      <c r="I21" s="28"/>
      <c r="J21" s="28"/>
      <c r="K21" s="28" t="s">
        <v>51</v>
      </c>
      <c r="L21" s="29"/>
      <c r="M21" s="29"/>
    </row>
    <row r="22" customFormat="false" ht="30" hidden="false" customHeight="true" outlineLevel="0" collapsed="false">
      <c r="A22" s="5" t="s">
        <v>92</v>
      </c>
      <c r="B22" s="34" t="s">
        <v>93</v>
      </c>
      <c r="C22" s="25" t="s">
        <v>94</v>
      </c>
      <c r="D22" s="26" t="s">
        <v>91</v>
      </c>
      <c r="E22" s="27"/>
      <c r="F22" s="28" t="s">
        <v>50</v>
      </c>
      <c r="G22" s="27"/>
      <c r="H22" s="28"/>
      <c r="I22" s="28"/>
      <c r="J22" s="28"/>
      <c r="K22" s="28" t="s">
        <v>51</v>
      </c>
      <c r="L22" s="29"/>
      <c r="M22" s="29"/>
    </row>
    <row r="24" customFormat="false" ht="15" hidden="false" customHeight="false" outlineLevel="0" collapsed="false">
      <c r="C24" s="30" t="s">
        <v>95</v>
      </c>
      <c r="D24" s="35" t="str">
        <f aca="false">COUNTIF(F5:F20,"Done")&amp;" of 16"</f>
        <v>0 of 16</v>
      </c>
    </row>
    <row r="25" customFormat="false" ht="15" hidden="false" customHeight="false" outlineLevel="0" collapsed="false">
      <c r="C25" s="30" t="s">
        <v>96</v>
      </c>
      <c r="D25" s="35" t="str">
        <f aca="false">IFERROR(ROUND(AVERAGEIF(F5:F20,"Done",J5:J20),1),"-")</f>
        <v>-</v>
      </c>
    </row>
  </sheetData>
  <autoFilter ref="A4:M22"/>
  <conditionalFormatting sqref="A5:M22">
    <cfRule type="expression" priority="2" aboveAverage="0" equalAverage="0" bottom="0" percent="0" rank="0" text="" dxfId="4">
      <formula>$F5="Done"</formula>
    </cfRule>
    <cfRule type="expression" priority="3" aboveAverage="0" equalAverage="0" bottom="0" percent="0" rank="0" text="" dxfId="5">
      <formula>$F5="Postponed"</formula>
    </cfRule>
    <cfRule type="expression" priority="4" aboveAverage="0" equalAverage="0" bottom="0" percent="0" rank="0" text="" dxfId="6">
      <formula>$F5="Cancelled"</formula>
    </cfRule>
    <cfRule type="expression" priority="5" aboveAverage="0" equalAverage="0" bottom="0" percent="0" rank="0" text="" dxfId="7">
      <formula>$F5="Planned"</formula>
    </cfRule>
  </conditionalFormatting>
  <dataValidations count="4">
    <dataValidation allowBlank="true" errorStyle="stop" operator="greaterThan" showDropDown="false" showErrorMessage="false" showInputMessage="false" sqref="E5:E22 G5:G22" type="date">
      <formula1>44927</formula1>
      <formula2>0</formula2>
    </dataValidation>
    <dataValidation allowBlank="true" errorStyle="stop" operator="between" showDropDown="false" showErrorMessage="false" showInputMessage="false" sqref="J5:J22" type="whole">
      <formula1>0</formula1>
      <formula2>60</formula2>
    </dataValidation>
    <dataValidation allowBlank="true" errorStyle="stop" operator="between" showDropDown="false" showErrorMessage="false" showInputMessage="false" sqref="F5:F22" type="list">
      <formula1>"Not started,Planned,Done,Postponed,Cancelled"</formula1>
      <formula2>0</formula2>
    </dataValidation>
    <dataValidation allowBlank="true" errorStyle="stop" operator="between" showDropDown="false" showErrorMessage="false" showInputMessage="false" sqref="K5:K22"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3FC4"/>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40"/>
    <col collapsed="false" customWidth="true" hidden="false" outlineLevel="0" max="4" min="4" style="0" width="24"/>
    <col collapsed="false" customWidth="true" hidden="false" outlineLevel="0" max="5" min="5" style="0" width="13"/>
    <col collapsed="false" customWidth="true" hidden="false" outlineLevel="0" max="7" min="6" style="0" width="14"/>
    <col collapsed="false" customWidth="true" hidden="false" outlineLevel="0" max="8" min="8" style="0" width="15"/>
    <col collapsed="false" customWidth="true" hidden="false" outlineLevel="0" max="9" min="9" style="0" width="16"/>
    <col collapsed="false" customWidth="true" hidden="false" outlineLevel="0" max="10" min="10" style="0" width="11"/>
    <col collapsed="false" customWidth="true" hidden="false" outlineLevel="0" max="11" min="11" style="0" width="10"/>
    <col collapsed="false" customWidth="true" hidden="false" outlineLevel="0" max="12" min="12" style="0" width="34"/>
    <col collapsed="false" customWidth="true" hidden="false" outlineLevel="0" max="13" min="13" style="0" width="44"/>
  </cols>
  <sheetData>
    <row r="1" customFormat="false" ht="17.35" hidden="false" customHeight="false" outlineLevel="0" collapsed="false">
      <c r="A1" s="36" t="s">
        <v>130</v>
      </c>
    </row>
    <row r="2" customFormat="false" ht="15" hidden="false" customHeight="false" outlineLevel="0" collapsed="false">
      <c r="A2" s="2" t="s">
        <v>46</v>
      </c>
    </row>
    <row r="4" customFormat="false" ht="30" hidden="false" customHeight="true" outlineLevel="0" collapsed="false">
      <c r="A4" s="37" t="s">
        <v>23</v>
      </c>
      <c r="B4" s="37" t="s">
        <v>24</v>
      </c>
      <c r="C4" s="37" t="s">
        <v>25</v>
      </c>
      <c r="D4" s="37" t="s">
        <v>26</v>
      </c>
      <c r="E4" s="37" t="s">
        <v>27</v>
      </c>
      <c r="F4" s="37" t="s">
        <v>28</v>
      </c>
      <c r="G4" s="37" t="s">
        <v>29</v>
      </c>
      <c r="H4" s="37" t="s">
        <v>30</v>
      </c>
      <c r="I4" s="37" t="s">
        <v>31</v>
      </c>
      <c r="J4" s="37" t="s">
        <v>32</v>
      </c>
      <c r="K4" s="37" t="s">
        <v>33</v>
      </c>
      <c r="L4" s="37" t="s">
        <v>34</v>
      </c>
      <c r="M4" s="37" t="s">
        <v>35</v>
      </c>
    </row>
    <row r="5" customFormat="false" ht="30" hidden="false" customHeight="true" outlineLevel="0" collapsed="false">
      <c r="A5" s="5" t="n">
        <v>1</v>
      </c>
      <c r="B5" s="38" t="s">
        <v>131</v>
      </c>
      <c r="C5" s="25" t="s">
        <v>132</v>
      </c>
      <c r="D5" s="26" t="s">
        <v>49</v>
      </c>
      <c r="E5" s="27"/>
      <c r="F5" s="28" t="s">
        <v>50</v>
      </c>
      <c r="G5" s="27"/>
      <c r="H5" s="28"/>
      <c r="I5" s="28"/>
      <c r="J5" s="28"/>
      <c r="K5" s="28" t="s">
        <v>51</v>
      </c>
      <c r="L5" s="29"/>
      <c r="M5" s="29"/>
    </row>
    <row r="6" customFormat="false" ht="30" hidden="false" customHeight="true" outlineLevel="0" collapsed="false">
      <c r="A6" s="5" t="n">
        <v>2</v>
      </c>
      <c r="B6" s="38" t="s">
        <v>133</v>
      </c>
      <c r="C6" s="25" t="s">
        <v>134</v>
      </c>
      <c r="D6" s="26" t="s">
        <v>59</v>
      </c>
      <c r="E6" s="27"/>
      <c r="F6" s="28" t="s">
        <v>50</v>
      </c>
      <c r="G6" s="27"/>
      <c r="H6" s="28"/>
      <c r="I6" s="28"/>
      <c r="J6" s="28"/>
      <c r="K6" s="28" t="s">
        <v>51</v>
      </c>
      <c r="L6" s="29"/>
      <c r="M6" s="29"/>
    </row>
    <row r="7" customFormat="false" ht="30" hidden="false" customHeight="true" outlineLevel="0" collapsed="false">
      <c r="A7" s="5" t="n">
        <v>3</v>
      </c>
      <c r="B7" s="38" t="s">
        <v>135</v>
      </c>
      <c r="C7" s="25" t="s">
        <v>136</v>
      </c>
      <c r="D7" s="26" t="s">
        <v>56</v>
      </c>
      <c r="E7" s="27"/>
      <c r="F7" s="28" t="s">
        <v>50</v>
      </c>
      <c r="G7" s="27"/>
      <c r="H7" s="28"/>
      <c r="I7" s="28"/>
      <c r="J7" s="28"/>
      <c r="K7" s="28" t="s">
        <v>51</v>
      </c>
      <c r="L7" s="29"/>
      <c r="M7" s="29"/>
    </row>
    <row r="8" customFormat="false" ht="30" hidden="false" customHeight="true" outlineLevel="0" collapsed="false">
      <c r="A8" s="5" t="n">
        <v>4</v>
      </c>
      <c r="B8" s="38" t="s">
        <v>137</v>
      </c>
      <c r="C8" s="25" t="s">
        <v>138</v>
      </c>
      <c r="D8" s="26" t="s">
        <v>74</v>
      </c>
      <c r="E8" s="27"/>
      <c r="F8" s="28" t="s">
        <v>50</v>
      </c>
      <c r="G8" s="27"/>
      <c r="H8" s="28"/>
      <c r="I8" s="28"/>
      <c r="J8" s="28"/>
      <c r="K8" s="28" t="s">
        <v>51</v>
      </c>
      <c r="L8" s="29"/>
      <c r="M8" s="29"/>
    </row>
    <row r="9" customFormat="false" ht="30" hidden="false" customHeight="true" outlineLevel="0" collapsed="false">
      <c r="A9" s="5" t="n">
        <v>5</v>
      </c>
      <c r="B9" s="38" t="s">
        <v>139</v>
      </c>
      <c r="C9" s="25" t="s">
        <v>140</v>
      </c>
      <c r="D9" s="26" t="s">
        <v>69</v>
      </c>
      <c r="E9" s="27"/>
      <c r="F9" s="28" t="s">
        <v>50</v>
      </c>
      <c r="G9" s="27"/>
      <c r="H9" s="28"/>
      <c r="I9" s="28"/>
      <c r="J9" s="28"/>
      <c r="K9" s="28" t="s">
        <v>51</v>
      </c>
      <c r="L9" s="29"/>
      <c r="M9" s="29"/>
    </row>
    <row r="10" customFormat="false" ht="30" hidden="false" customHeight="true" outlineLevel="0" collapsed="false">
      <c r="A10" s="5" t="n">
        <v>6</v>
      </c>
      <c r="B10" s="38" t="s">
        <v>141</v>
      </c>
      <c r="C10" s="25" t="s">
        <v>142</v>
      </c>
      <c r="D10" s="26" t="s">
        <v>77</v>
      </c>
      <c r="E10" s="27"/>
      <c r="F10" s="28" t="s">
        <v>50</v>
      </c>
      <c r="G10" s="27"/>
      <c r="H10" s="28"/>
      <c r="I10" s="28"/>
      <c r="J10" s="28"/>
      <c r="K10" s="28" t="s">
        <v>51</v>
      </c>
      <c r="L10" s="29"/>
      <c r="M10" s="29"/>
    </row>
    <row r="11" customFormat="false" ht="30" hidden="false" customHeight="true" outlineLevel="0" collapsed="false">
      <c r="A11" s="5" t="n">
        <v>7</v>
      </c>
      <c r="B11" s="38" t="s">
        <v>143</v>
      </c>
      <c r="C11" s="25" t="s">
        <v>144</v>
      </c>
      <c r="D11" s="26" t="s">
        <v>69</v>
      </c>
      <c r="E11" s="27"/>
      <c r="F11" s="28" t="s">
        <v>50</v>
      </c>
      <c r="G11" s="27"/>
      <c r="H11" s="28"/>
      <c r="I11" s="28"/>
      <c r="J11" s="28"/>
      <c r="K11" s="28" t="s">
        <v>51</v>
      </c>
      <c r="L11" s="29"/>
      <c r="M11" s="29"/>
    </row>
    <row r="12" customFormat="false" ht="30" hidden="false" customHeight="true" outlineLevel="0" collapsed="false">
      <c r="A12" s="5" t="n">
        <v>8</v>
      </c>
      <c r="B12" s="38" t="s">
        <v>145</v>
      </c>
      <c r="C12" s="25" t="s">
        <v>146</v>
      </c>
      <c r="D12" s="26" t="s">
        <v>66</v>
      </c>
      <c r="E12" s="27"/>
      <c r="F12" s="28" t="s">
        <v>50</v>
      </c>
      <c r="G12" s="27"/>
      <c r="H12" s="28"/>
      <c r="I12" s="28"/>
      <c r="J12" s="28"/>
      <c r="K12" s="28" t="s">
        <v>51</v>
      </c>
      <c r="L12" s="29"/>
      <c r="M12" s="29"/>
    </row>
    <row r="13" customFormat="false" ht="30" hidden="false" customHeight="true" outlineLevel="0" collapsed="false">
      <c r="A13" s="5" t="n">
        <v>9</v>
      </c>
      <c r="B13" s="38" t="s">
        <v>147</v>
      </c>
      <c r="C13" s="25" t="s">
        <v>148</v>
      </c>
      <c r="D13" s="26" t="s">
        <v>56</v>
      </c>
      <c r="E13" s="27"/>
      <c r="F13" s="28" t="s">
        <v>50</v>
      </c>
      <c r="G13" s="27"/>
      <c r="H13" s="28"/>
      <c r="I13" s="28"/>
      <c r="J13" s="28"/>
      <c r="K13" s="28" t="s">
        <v>51</v>
      </c>
      <c r="L13" s="29"/>
      <c r="M13" s="29"/>
    </row>
    <row r="14" customFormat="false" ht="30" hidden="false" customHeight="true" outlineLevel="0" collapsed="false">
      <c r="A14" s="5" t="n">
        <v>10</v>
      </c>
      <c r="B14" s="38" t="s">
        <v>149</v>
      </c>
      <c r="C14" s="25" t="s">
        <v>150</v>
      </c>
      <c r="D14" s="26" t="s">
        <v>77</v>
      </c>
      <c r="E14" s="27"/>
      <c r="F14" s="28" t="s">
        <v>50</v>
      </c>
      <c r="G14" s="27"/>
      <c r="H14" s="28"/>
      <c r="I14" s="28"/>
      <c r="J14" s="28"/>
      <c r="K14" s="28" t="s">
        <v>51</v>
      </c>
      <c r="L14" s="29"/>
      <c r="M14" s="29"/>
    </row>
    <row r="15" customFormat="false" ht="30" hidden="false" customHeight="true" outlineLevel="0" collapsed="false">
      <c r="A15" s="5" t="n">
        <v>11</v>
      </c>
      <c r="B15" s="38" t="s">
        <v>151</v>
      </c>
      <c r="C15" s="25" t="s">
        <v>152</v>
      </c>
      <c r="D15" s="26" t="s">
        <v>59</v>
      </c>
      <c r="E15" s="27"/>
      <c r="F15" s="28" t="s">
        <v>50</v>
      </c>
      <c r="G15" s="27"/>
      <c r="H15" s="28"/>
      <c r="I15" s="28"/>
      <c r="J15" s="28"/>
      <c r="K15" s="28" t="s">
        <v>51</v>
      </c>
      <c r="L15" s="29"/>
      <c r="M15" s="29"/>
    </row>
    <row r="16" customFormat="false" ht="30" hidden="false" customHeight="true" outlineLevel="0" collapsed="false">
      <c r="A16" s="5" t="n">
        <v>12</v>
      </c>
      <c r="B16" s="38" t="s">
        <v>153</v>
      </c>
      <c r="C16" s="25" t="s">
        <v>154</v>
      </c>
      <c r="D16" s="26" t="s">
        <v>82</v>
      </c>
      <c r="E16" s="27"/>
      <c r="F16" s="28" t="s">
        <v>50</v>
      </c>
      <c r="G16" s="27"/>
      <c r="H16" s="28"/>
      <c r="I16" s="28"/>
      <c r="J16" s="28"/>
      <c r="K16" s="28" t="s">
        <v>51</v>
      </c>
      <c r="L16" s="29"/>
      <c r="M16" s="29"/>
    </row>
    <row r="17" customFormat="false" ht="30" hidden="false" customHeight="true" outlineLevel="0" collapsed="false">
      <c r="A17" s="5" t="n">
        <v>13</v>
      </c>
      <c r="B17" s="38" t="s">
        <v>155</v>
      </c>
      <c r="C17" s="25" t="s">
        <v>156</v>
      </c>
      <c r="D17" s="26" t="s">
        <v>38</v>
      </c>
      <c r="E17" s="27"/>
      <c r="F17" s="28" t="s">
        <v>50</v>
      </c>
      <c r="G17" s="27"/>
      <c r="H17" s="28"/>
      <c r="I17" s="28"/>
      <c r="J17" s="28"/>
      <c r="K17" s="28" t="s">
        <v>51</v>
      </c>
      <c r="L17" s="29"/>
      <c r="M17" s="29"/>
    </row>
    <row r="18" customFormat="false" ht="30" hidden="false" customHeight="true" outlineLevel="0" collapsed="false">
      <c r="A18" s="5" t="n">
        <v>14</v>
      </c>
      <c r="B18" s="38" t="s">
        <v>157</v>
      </c>
      <c r="C18" s="25" t="s">
        <v>158</v>
      </c>
      <c r="D18" s="26" t="s">
        <v>82</v>
      </c>
      <c r="E18" s="27"/>
      <c r="F18" s="28" t="s">
        <v>50</v>
      </c>
      <c r="G18" s="27"/>
      <c r="H18" s="28"/>
      <c r="I18" s="28"/>
      <c r="J18" s="28"/>
      <c r="K18" s="28" t="s">
        <v>51</v>
      </c>
      <c r="L18" s="29"/>
      <c r="M18" s="29"/>
    </row>
    <row r="19" customFormat="false" ht="30" hidden="false" customHeight="true" outlineLevel="0" collapsed="false">
      <c r="A19" s="5" t="n">
        <v>15</v>
      </c>
      <c r="B19" s="38" t="s">
        <v>159</v>
      </c>
      <c r="C19" s="25" t="s">
        <v>160</v>
      </c>
      <c r="D19" s="26" t="s">
        <v>87</v>
      </c>
      <c r="E19" s="27"/>
      <c r="F19" s="28" t="s">
        <v>50</v>
      </c>
      <c r="G19" s="27"/>
      <c r="H19" s="28"/>
      <c r="I19" s="28"/>
      <c r="J19" s="28"/>
      <c r="K19" s="28" t="s">
        <v>51</v>
      </c>
      <c r="L19" s="29"/>
      <c r="M19" s="29"/>
    </row>
    <row r="20" customFormat="false" ht="30" hidden="false" customHeight="true" outlineLevel="0" collapsed="false">
      <c r="A20" s="5" t="n">
        <v>16</v>
      </c>
      <c r="B20" s="38" t="s">
        <v>161</v>
      </c>
      <c r="C20" s="25" t="s">
        <v>162</v>
      </c>
      <c r="D20" s="26" t="s">
        <v>74</v>
      </c>
      <c r="E20" s="27"/>
      <c r="F20" s="28" t="s">
        <v>50</v>
      </c>
      <c r="G20" s="27"/>
      <c r="H20" s="28"/>
      <c r="I20" s="28"/>
      <c r="J20" s="28"/>
      <c r="K20" s="28" t="s">
        <v>51</v>
      </c>
      <c r="L20" s="29"/>
      <c r="M20" s="29"/>
    </row>
    <row r="21" customFormat="false" ht="30" hidden="false" customHeight="true" outlineLevel="0" collapsed="false">
      <c r="A21" s="5" t="s">
        <v>88</v>
      </c>
      <c r="B21" s="38" t="s">
        <v>89</v>
      </c>
      <c r="C21" s="25" t="s">
        <v>90</v>
      </c>
      <c r="D21" s="26" t="s">
        <v>91</v>
      </c>
      <c r="E21" s="27"/>
      <c r="F21" s="28" t="s">
        <v>50</v>
      </c>
      <c r="G21" s="27"/>
      <c r="H21" s="28"/>
      <c r="I21" s="28"/>
      <c r="J21" s="28"/>
      <c r="K21" s="28" t="s">
        <v>51</v>
      </c>
      <c r="L21" s="29"/>
      <c r="M21" s="29"/>
    </row>
    <row r="22" customFormat="false" ht="30" hidden="false" customHeight="true" outlineLevel="0" collapsed="false">
      <c r="A22" s="5" t="s">
        <v>92</v>
      </c>
      <c r="B22" s="38" t="s">
        <v>93</v>
      </c>
      <c r="C22" s="25" t="s">
        <v>94</v>
      </c>
      <c r="D22" s="26" t="s">
        <v>91</v>
      </c>
      <c r="E22" s="27"/>
      <c r="F22" s="28" t="s">
        <v>50</v>
      </c>
      <c r="G22" s="27"/>
      <c r="H22" s="28"/>
      <c r="I22" s="28"/>
      <c r="J22" s="28"/>
      <c r="K22" s="28" t="s">
        <v>51</v>
      </c>
      <c r="L22" s="29"/>
      <c r="M22" s="29"/>
    </row>
    <row r="24" customFormat="false" ht="15" hidden="false" customHeight="false" outlineLevel="0" collapsed="false">
      <c r="C24" s="30" t="s">
        <v>95</v>
      </c>
      <c r="D24" s="39" t="str">
        <f aca="false">COUNTIF(F5:F20,"Done")&amp;" of 16"</f>
        <v>0 of 16</v>
      </c>
    </row>
    <row r="25" customFormat="false" ht="15" hidden="false" customHeight="false" outlineLevel="0" collapsed="false">
      <c r="C25" s="30" t="s">
        <v>96</v>
      </c>
      <c r="D25" s="39" t="str">
        <f aca="false">IFERROR(ROUND(AVERAGEIF(F5:F20,"Done",J5:J20),1),"-")</f>
        <v>-</v>
      </c>
    </row>
  </sheetData>
  <autoFilter ref="A4:M22"/>
  <conditionalFormatting sqref="A5:M22">
    <cfRule type="expression" priority="2" aboveAverage="0" equalAverage="0" bottom="0" percent="0" rank="0" text="" dxfId="4">
      <formula>$F5="Done"</formula>
    </cfRule>
    <cfRule type="expression" priority="3" aboveAverage="0" equalAverage="0" bottom="0" percent="0" rank="0" text="" dxfId="5">
      <formula>$F5="Postponed"</formula>
    </cfRule>
    <cfRule type="expression" priority="4" aboveAverage="0" equalAverage="0" bottom="0" percent="0" rank="0" text="" dxfId="6">
      <formula>$F5="Cancelled"</formula>
    </cfRule>
    <cfRule type="expression" priority="5" aboveAverage="0" equalAverage="0" bottom="0" percent="0" rank="0" text="" dxfId="7">
      <formula>$F5="Planned"</formula>
    </cfRule>
  </conditionalFormatting>
  <dataValidations count="4">
    <dataValidation allowBlank="true" errorStyle="stop" operator="greaterThan" showDropDown="false" showErrorMessage="false" showInputMessage="false" sqref="E5:E22 G5:G22" type="date">
      <formula1>44927</formula1>
      <formula2>0</formula2>
    </dataValidation>
    <dataValidation allowBlank="true" errorStyle="stop" operator="between" showDropDown="false" showErrorMessage="false" showInputMessage="false" sqref="J5:J22" type="whole">
      <formula1>0</formula1>
      <formula2>60</formula2>
    </dataValidation>
    <dataValidation allowBlank="true" errorStyle="stop" operator="between" showDropDown="false" showErrorMessage="false" showInputMessage="false" sqref="F5:F22" type="list">
      <formula1>"Not started,Planned,Done,Postponed,Cancelled"</formula1>
      <formula2>0</formula2>
    </dataValidation>
    <dataValidation allowBlank="true" errorStyle="stop" operator="between" showDropDown="false" showErrorMessage="false" showInputMessage="false" sqref="K5:K22"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434A"/>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40"/>
    <col collapsed="false" customWidth="true" hidden="false" outlineLevel="0" max="4" min="4" style="0" width="24"/>
    <col collapsed="false" customWidth="true" hidden="false" outlineLevel="0" max="5" min="5" style="0" width="13"/>
    <col collapsed="false" customWidth="true" hidden="false" outlineLevel="0" max="7" min="6" style="0" width="14"/>
    <col collapsed="false" customWidth="true" hidden="false" outlineLevel="0" max="8" min="8" style="0" width="15"/>
    <col collapsed="false" customWidth="true" hidden="false" outlineLevel="0" max="9" min="9" style="0" width="16"/>
    <col collapsed="false" customWidth="true" hidden="false" outlineLevel="0" max="10" min="10" style="0" width="11"/>
    <col collapsed="false" customWidth="true" hidden="false" outlineLevel="0" max="11" min="11" style="0" width="10"/>
    <col collapsed="false" customWidth="true" hidden="false" outlineLevel="0" max="12" min="12" style="0" width="34"/>
    <col collapsed="false" customWidth="true" hidden="false" outlineLevel="0" max="13" min="13" style="0" width="44"/>
  </cols>
  <sheetData>
    <row r="1" customFormat="false" ht="17.35" hidden="false" customHeight="false" outlineLevel="0" collapsed="false">
      <c r="A1" s="40" t="s">
        <v>163</v>
      </c>
    </row>
    <row r="2" customFormat="false" ht="15" hidden="false" customHeight="false" outlineLevel="0" collapsed="false">
      <c r="A2" s="2" t="s">
        <v>46</v>
      </c>
    </row>
    <row r="4" customFormat="false" ht="30" hidden="false" customHeight="true" outlineLevel="0" collapsed="false">
      <c r="A4" s="41" t="s">
        <v>23</v>
      </c>
      <c r="B4" s="41" t="s">
        <v>24</v>
      </c>
      <c r="C4" s="41" t="s">
        <v>25</v>
      </c>
      <c r="D4" s="41" t="s">
        <v>26</v>
      </c>
      <c r="E4" s="41" t="s">
        <v>27</v>
      </c>
      <c r="F4" s="41" t="s">
        <v>28</v>
      </c>
      <c r="G4" s="41" t="s">
        <v>29</v>
      </c>
      <c r="H4" s="41" t="s">
        <v>30</v>
      </c>
      <c r="I4" s="41" t="s">
        <v>31</v>
      </c>
      <c r="J4" s="41" t="s">
        <v>32</v>
      </c>
      <c r="K4" s="41" t="s">
        <v>33</v>
      </c>
      <c r="L4" s="41" t="s">
        <v>34</v>
      </c>
      <c r="M4" s="41" t="s">
        <v>35</v>
      </c>
    </row>
    <row r="5" customFormat="false" ht="30" hidden="false" customHeight="true" outlineLevel="0" collapsed="false">
      <c r="A5" s="5" t="n">
        <v>1</v>
      </c>
      <c r="B5" s="42" t="s">
        <v>164</v>
      </c>
      <c r="C5" s="25" t="s">
        <v>165</v>
      </c>
      <c r="D5" s="26" t="s">
        <v>56</v>
      </c>
      <c r="E5" s="27"/>
      <c r="F5" s="28" t="s">
        <v>50</v>
      </c>
      <c r="G5" s="27"/>
      <c r="H5" s="28"/>
      <c r="I5" s="28"/>
      <c r="J5" s="28"/>
      <c r="K5" s="28" t="s">
        <v>51</v>
      </c>
      <c r="L5" s="29"/>
      <c r="M5" s="29"/>
    </row>
    <row r="6" customFormat="false" ht="30" hidden="false" customHeight="true" outlineLevel="0" collapsed="false">
      <c r="A6" s="5" t="n">
        <v>2</v>
      </c>
      <c r="B6" s="42" t="s">
        <v>166</v>
      </c>
      <c r="C6" s="25" t="s">
        <v>167</v>
      </c>
      <c r="D6" s="26" t="s">
        <v>69</v>
      </c>
      <c r="E6" s="27"/>
      <c r="F6" s="28" t="s">
        <v>50</v>
      </c>
      <c r="G6" s="27"/>
      <c r="H6" s="28"/>
      <c r="I6" s="28"/>
      <c r="J6" s="28"/>
      <c r="K6" s="28" t="s">
        <v>51</v>
      </c>
      <c r="L6" s="29"/>
      <c r="M6" s="29"/>
    </row>
    <row r="7" customFormat="false" ht="30" hidden="false" customHeight="true" outlineLevel="0" collapsed="false">
      <c r="A7" s="5" t="n">
        <v>3</v>
      </c>
      <c r="B7" s="42" t="s">
        <v>168</v>
      </c>
      <c r="C7" s="25" t="s">
        <v>169</v>
      </c>
      <c r="D7" s="26" t="s">
        <v>74</v>
      </c>
      <c r="E7" s="27"/>
      <c r="F7" s="28" t="s">
        <v>50</v>
      </c>
      <c r="G7" s="27"/>
      <c r="H7" s="28"/>
      <c r="I7" s="28"/>
      <c r="J7" s="28"/>
      <c r="K7" s="28" t="s">
        <v>51</v>
      </c>
      <c r="L7" s="29"/>
      <c r="M7" s="29"/>
    </row>
    <row r="8" customFormat="false" ht="30" hidden="false" customHeight="true" outlineLevel="0" collapsed="false">
      <c r="A8" s="5" t="n">
        <v>4</v>
      </c>
      <c r="B8" s="42" t="s">
        <v>170</v>
      </c>
      <c r="C8" s="25" t="s">
        <v>171</v>
      </c>
      <c r="D8" s="26" t="s">
        <v>59</v>
      </c>
      <c r="E8" s="27"/>
      <c r="F8" s="28" t="s">
        <v>50</v>
      </c>
      <c r="G8" s="27"/>
      <c r="H8" s="28"/>
      <c r="I8" s="28"/>
      <c r="J8" s="28"/>
      <c r="K8" s="28" t="s">
        <v>51</v>
      </c>
      <c r="L8" s="29"/>
      <c r="M8" s="29"/>
    </row>
    <row r="9" customFormat="false" ht="30" hidden="false" customHeight="true" outlineLevel="0" collapsed="false">
      <c r="A9" s="5" t="n">
        <v>5</v>
      </c>
      <c r="B9" s="42" t="s">
        <v>172</v>
      </c>
      <c r="C9" s="25" t="s">
        <v>173</v>
      </c>
      <c r="D9" s="26" t="s">
        <v>77</v>
      </c>
      <c r="E9" s="27"/>
      <c r="F9" s="28" t="s">
        <v>50</v>
      </c>
      <c r="G9" s="27"/>
      <c r="H9" s="28"/>
      <c r="I9" s="28"/>
      <c r="J9" s="28"/>
      <c r="K9" s="28" t="s">
        <v>51</v>
      </c>
      <c r="L9" s="29"/>
      <c r="M9" s="29"/>
    </row>
    <row r="10" customFormat="false" ht="30" hidden="false" customHeight="true" outlineLevel="0" collapsed="false">
      <c r="A10" s="5" t="n">
        <v>6</v>
      </c>
      <c r="B10" s="42" t="s">
        <v>174</v>
      </c>
      <c r="C10" s="25" t="s">
        <v>175</v>
      </c>
      <c r="D10" s="26" t="s">
        <v>77</v>
      </c>
      <c r="E10" s="27"/>
      <c r="F10" s="28" t="s">
        <v>50</v>
      </c>
      <c r="G10" s="27"/>
      <c r="H10" s="28"/>
      <c r="I10" s="28"/>
      <c r="J10" s="28"/>
      <c r="K10" s="28" t="s">
        <v>51</v>
      </c>
      <c r="L10" s="29"/>
      <c r="M10" s="29"/>
    </row>
    <row r="11" customFormat="false" ht="30" hidden="false" customHeight="true" outlineLevel="0" collapsed="false">
      <c r="A11" s="5" t="n">
        <v>7</v>
      </c>
      <c r="B11" s="42" t="s">
        <v>176</v>
      </c>
      <c r="C11" s="25" t="s">
        <v>177</v>
      </c>
      <c r="D11" s="26" t="s">
        <v>59</v>
      </c>
      <c r="E11" s="27"/>
      <c r="F11" s="28" t="s">
        <v>50</v>
      </c>
      <c r="G11" s="27"/>
      <c r="H11" s="28"/>
      <c r="I11" s="28"/>
      <c r="J11" s="28"/>
      <c r="K11" s="28" t="s">
        <v>51</v>
      </c>
      <c r="L11" s="29"/>
      <c r="M11" s="29"/>
    </row>
    <row r="12" customFormat="false" ht="30" hidden="false" customHeight="true" outlineLevel="0" collapsed="false">
      <c r="A12" s="5" t="n">
        <v>8</v>
      </c>
      <c r="B12" s="42" t="s">
        <v>178</v>
      </c>
      <c r="C12" s="25" t="s">
        <v>179</v>
      </c>
      <c r="D12" s="26" t="s">
        <v>66</v>
      </c>
      <c r="E12" s="27"/>
      <c r="F12" s="28" t="s">
        <v>50</v>
      </c>
      <c r="G12" s="27"/>
      <c r="H12" s="28"/>
      <c r="I12" s="28"/>
      <c r="J12" s="28"/>
      <c r="K12" s="28" t="s">
        <v>51</v>
      </c>
      <c r="L12" s="29"/>
      <c r="M12" s="29"/>
    </row>
    <row r="13" customFormat="false" ht="30" hidden="false" customHeight="true" outlineLevel="0" collapsed="false">
      <c r="A13" s="5" t="n">
        <v>9</v>
      </c>
      <c r="B13" s="42" t="s">
        <v>180</v>
      </c>
      <c r="C13" s="25" t="s">
        <v>181</v>
      </c>
      <c r="D13" s="26" t="s">
        <v>87</v>
      </c>
      <c r="E13" s="27"/>
      <c r="F13" s="28" t="s">
        <v>50</v>
      </c>
      <c r="G13" s="27"/>
      <c r="H13" s="28"/>
      <c r="I13" s="28"/>
      <c r="J13" s="28"/>
      <c r="K13" s="28" t="s">
        <v>51</v>
      </c>
      <c r="L13" s="29"/>
      <c r="M13" s="29"/>
    </row>
    <row r="14" customFormat="false" ht="30" hidden="false" customHeight="true" outlineLevel="0" collapsed="false">
      <c r="A14" s="5" t="n">
        <v>10</v>
      </c>
      <c r="B14" s="42" t="s">
        <v>182</v>
      </c>
      <c r="C14" s="25" t="s">
        <v>183</v>
      </c>
      <c r="D14" s="26" t="s">
        <v>87</v>
      </c>
      <c r="E14" s="27"/>
      <c r="F14" s="28" t="s">
        <v>50</v>
      </c>
      <c r="G14" s="27"/>
      <c r="H14" s="28"/>
      <c r="I14" s="28"/>
      <c r="J14" s="28"/>
      <c r="K14" s="28" t="s">
        <v>51</v>
      </c>
      <c r="L14" s="29"/>
      <c r="M14" s="29"/>
    </row>
    <row r="15" customFormat="false" ht="30" hidden="false" customHeight="true" outlineLevel="0" collapsed="false">
      <c r="A15" s="5" t="n">
        <v>11</v>
      </c>
      <c r="B15" s="42" t="s">
        <v>184</v>
      </c>
      <c r="C15" s="25" t="s">
        <v>185</v>
      </c>
      <c r="D15" s="26" t="s">
        <v>87</v>
      </c>
      <c r="E15" s="27"/>
      <c r="F15" s="28" t="s">
        <v>50</v>
      </c>
      <c r="G15" s="27"/>
      <c r="H15" s="28"/>
      <c r="I15" s="28"/>
      <c r="J15" s="28"/>
      <c r="K15" s="28" t="s">
        <v>51</v>
      </c>
      <c r="L15" s="29"/>
      <c r="M15" s="29"/>
    </row>
    <row r="16" customFormat="false" ht="30" hidden="false" customHeight="true" outlineLevel="0" collapsed="false">
      <c r="A16" s="5" t="n">
        <v>12</v>
      </c>
      <c r="B16" s="42" t="s">
        <v>186</v>
      </c>
      <c r="C16" s="25" t="s">
        <v>187</v>
      </c>
      <c r="D16" s="26" t="s">
        <v>82</v>
      </c>
      <c r="E16" s="27"/>
      <c r="F16" s="28" t="s">
        <v>50</v>
      </c>
      <c r="G16" s="27"/>
      <c r="H16" s="28"/>
      <c r="I16" s="28"/>
      <c r="J16" s="28"/>
      <c r="K16" s="28" t="s">
        <v>51</v>
      </c>
      <c r="L16" s="29"/>
      <c r="M16" s="29"/>
    </row>
    <row r="17" customFormat="false" ht="30" hidden="false" customHeight="true" outlineLevel="0" collapsed="false">
      <c r="A17" s="5" t="n">
        <v>13</v>
      </c>
      <c r="B17" s="42" t="s">
        <v>188</v>
      </c>
      <c r="C17" s="25" t="s">
        <v>189</v>
      </c>
      <c r="D17" s="26" t="s">
        <v>66</v>
      </c>
      <c r="E17" s="27"/>
      <c r="F17" s="28" t="s">
        <v>50</v>
      </c>
      <c r="G17" s="27"/>
      <c r="H17" s="28"/>
      <c r="I17" s="28"/>
      <c r="J17" s="28"/>
      <c r="K17" s="28" t="s">
        <v>51</v>
      </c>
      <c r="L17" s="29"/>
      <c r="M17" s="29"/>
    </row>
    <row r="18" customFormat="false" ht="30" hidden="false" customHeight="true" outlineLevel="0" collapsed="false">
      <c r="A18" s="5" t="n">
        <v>14</v>
      </c>
      <c r="B18" s="42" t="s">
        <v>190</v>
      </c>
      <c r="C18" s="25" t="s">
        <v>191</v>
      </c>
      <c r="D18" s="26" t="s">
        <v>69</v>
      </c>
      <c r="E18" s="27"/>
      <c r="F18" s="28" t="s">
        <v>50</v>
      </c>
      <c r="G18" s="27"/>
      <c r="H18" s="28"/>
      <c r="I18" s="28"/>
      <c r="J18" s="28"/>
      <c r="K18" s="28" t="s">
        <v>51</v>
      </c>
      <c r="L18" s="29"/>
      <c r="M18" s="29"/>
    </row>
    <row r="19" customFormat="false" ht="30" hidden="false" customHeight="true" outlineLevel="0" collapsed="false">
      <c r="A19" s="5" t="n">
        <v>15</v>
      </c>
      <c r="B19" s="42" t="s">
        <v>192</v>
      </c>
      <c r="C19" s="25" t="s">
        <v>193</v>
      </c>
      <c r="D19" s="26" t="s">
        <v>74</v>
      </c>
      <c r="E19" s="27"/>
      <c r="F19" s="28" t="s">
        <v>50</v>
      </c>
      <c r="G19" s="27"/>
      <c r="H19" s="28"/>
      <c r="I19" s="28"/>
      <c r="J19" s="28"/>
      <c r="K19" s="28" t="s">
        <v>51</v>
      </c>
      <c r="L19" s="29"/>
      <c r="M19" s="29"/>
    </row>
    <row r="20" customFormat="false" ht="30" hidden="false" customHeight="true" outlineLevel="0" collapsed="false">
      <c r="A20" s="5" t="n">
        <v>16</v>
      </c>
      <c r="B20" s="42" t="s">
        <v>194</v>
      </c>
      <c r="C20" s="25" t="s">
        <v>195</v>
      </c>
      <c r="D20" s="26" t="s">
        <v>82</v>
      </c>
      <c r="E20" s="27"/>
      <c r="F20" s="28" t="s">
        <v>50</v>
      </c>
      <c r="G20" s="27"/>
      <c r="H20" s="28"/>
      <c r="I20" s="28"/>
      <c r="J20" s="28"/>
      <c r="K20" s="28" t="s">
        <v>51</v>
      </c>
      <c r="L20" s="29"/>
      <c r="M20" s="29"/>
    </row>
    <row r="21" customFormat="false" ht="30" hidden="false" customHeight="true" outlineLevel="0" collapsed="false">
      <c r="A21" s="5" t="s">
        <v>88</v>
      </c>
      <c r="B21" s="42" t="s">
        <v>89</v>
      </c>
      <c r="C21" s="25" t="s">
        <v>90</v>
      </c>
      <c r="D21" s="26" t="s">
        <v>91</v>
      </c>
      <c r="E21" s="27"/>
      <c r="F21" s="28" t="s">
        <v>50</v>
      </c>
      <c r="G21" s="27"/>
      <c r="H21" s="28"/>
      <c r="I21" s="28"/>
      <c r="J21" s="28"/>
      <c r="K21" s="28" t="s">
        <v>51</v>
      </c>
      <c r="L21" s="29"/>
      <c r="M21" s="29"/>
    </row>
    <row r="22" customFormat="false" ht="30" hidden="false" customHeight="true" outlineLevel="0" collapsed="false">
      <c r="A22" s="5" t="s">
        <v>92</v>
      </c>
      <c r="B22" s="42" t="s">
        <v>93</v>
      </c>
      <c r="C22" s="25" t="s">
        <v>94</v>
      </c>
      <c r="D22" s="26" t="s">
        <v>91</v>
      </c>
      <c r="E22" s="27"/>
      <c r="F22" s="28" t="s">
        <v>50</v>
      </c>
      <c r="G22" s="27"/>
      <c r="H22" s="28"/>
      <c r="I22" s="28"/>
      <c r="J22" s="28"/>
      <c r="K22" s="28" t="s">
        <v>51</v>
      </c>
      <c r="L22" s="29"/>
      <c r="M22" s="29"/>
    </row>
    <row r="24" customFormat="false" ht="15" hidden="false" customHeight="false" outlineLevel="0" collapsed="false">
      <c r="C24" s="30" t="s">
        <v>95</v>
      </c>
      <c r="D24" s="43" t="str">
        <f aca="false">COUNTIF(F5:F20,"Done")&amp;" of 16"</f>
        <v>0 of 16</v>
      </c>
    </row>
    <row r="25" customFormat="false" ht="15" hidden="false" customHeight="false" outlineLevel="0" collapsed="false">
      <c r="C25" s="30" t="s">
        <v>96</v>
      </c>
      <c r="D25" s="43" t="str">
        <f aca="false">IFERROR(ROUND(AVERAGEIF(F5:F20,"Done",J5:J20),1),"-")</f>
        <v>-</v>
      </c>
    </row>
  </sheetData>
  <autoFilter ref="A4:M22"/>
  <conditionalFormatting sqref="A5:M22">
    <cfRule type="expression" priority="2" aboveAverage="0" equalAverage="0" bottom="0" percent="0" rank="0" text="" dxfId="4">
      <formula>$F5="Done"</formula>
    </cfRule>
    <cfRule type="expression" priority="3" aboveAverage="0" equalAverage="0" bottom="0" percent="0" rank="0" text="" dxfId="5">
      <formula>$F5="Postponed"</formula>
    </cfRule>
    <cfRule type="expression" priority="4" aboveAverage="0" equalAverage="0" bottom="0" percent="0" rank="0" text="" dxfId="6">
      <formula>$F5="Cancelled"</formula>
    </cfRule>
    <cfRule type="expression" priority="5" aboveAverage="0" equalAverage="0" bottom="0" percent="0" rank="0" text="" dxfId="7">
      <formula>$F5="Planned"</formula>
    </cfRule>
  </conditionalFormatting>
  <dataValidations count="4">
    <dataValidation allowBlank="true" errorStyle="stop" operator="greaterThan" showDropDown="false" showErrorMessage="false" showInputMessage="false" sqref="E5:E22 G5:G22" type="date">
      <formula1>44927</formula1>
      <formula2>0</formula2>
    </dataValidation>
    <dataValidation allowBlank="true" errorStyle="stop" operator="between" showDropDown="false" showErrorMessage="false" showInputMessage="false" sqref="J5:J22" type="whole">
      <formula1>0</formula1>
      <formula2>60</formula2>
    </dataValidation>
    <dataValidation allowBlank="true" errorStyle="stop" operator="between" showDropDown="false" showErrorMessage="false" showInputMessage="false" sqref="F5:F22" type="list">
      <formula1>"Not started,Planned,Done,Postponed,Cancelled"</formula1>
      <formula2>0</formula2>
    </dataValidation>
    <dataValidation allowBlank="true" errorStyle="stop" operator="between" showDropDown="false" showErrorMessage="false" showInputMessage="false" sqref="K5:K22" type="list">
      <formula1>"Yes,No,In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2026-09-30T04:08:05Z</dcterms:created>
  <dc:creator>openpyxl</dc:creator>
  <dc:description/>
  <dc:language>en-US</dc:language>
  <cp:lastModifiedBy/>
  <dcterms:modified xsi:type="dcterms:W3CDTF">2026-09-30T04:08:06Z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