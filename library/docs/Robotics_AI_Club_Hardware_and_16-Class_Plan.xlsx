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16-Class Plan" sheetId="2" state="visible" r:id="rId4"/>
    <sheet name="Little Explorers 5-7" sheetId="3" state="visible" r:id="rId5"/>
    <sheet name="Junior Makers 8-11" sheetId="4" state="visible" r:id="rId6"/>
    <sheet name="Young Innovators 12-14" sheetId="5" state="visible" r:id="rId7"/>
    <sheet name="Tech Leaders 15-17" sheetId="6" state="visible" r:id="rId8"/>
    <sheet name="Master Hardware" sheetId="7" state="visible" r:id="rId9"/>
    <sheet name="Software Guide" sheetId="8" state="visible" r:id="rId10"/>
  </sheets>
  <definedNames>
    <definedName function="false" hidden="true" localSheetId="1" name="_xlnm._FilterDatabase" vbProcedure="false">'16-Class Plan'!$A$4:$K$85</definedName>
    <definedName function="false" hidden="true" localSheetId="3" name="_xlnm._FilterDatabase" vbProcedure="false">'Junior Makers 8-11'!$A$4:$G$191</definedName>
    <definedName function="false" hidden="true" localSheetId="2" name="_xlnm._FilterDatabase" vbProcedure="false">'Little Explorers 5-7'!$A$4:$G$163</definedName>
    <definedName function="false" hidden="true" localSheetId="6" name="_xlnm._FilterDatabase" vbProcedure="false">'Master Hardware'!$A$4:$N$100</definedName>
    <definedName function="false" hidden="true" localSheetId="5" name="_xlnm._FilterDatabase" vbProcedure="false">'Tech Leaders 15-17'!$A$4:$G$189</definedName>
    <definedName function="false" hidden="true" localSheetId="4" name="_xlnm._FilterDatabase" vbProcedure="false">'Young Innovators 12-14'!$A$4:$G$186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<sst xmlns="http://schemas.openxmlformats.org/spreadsheetml/2006/main" count="4473" uniqueCount="959">
  <si>
    <t xml:space="preserve">Robotics &amp; AI Club: 16-Class Curriculum Hardware Guide (8 weeks, 2 classes a week)</t>
  </si>
  <si>
    <t xml:space="preserve">Curriculum developed by Qasim Mushtaq, MS Robotics and AI · Pak-Turk Maarif International Schools &amp; Colleges, Chak Shahzad Campus</t>
  </si>
  <si>
    <t xml:space="preserve">Tabs</t>
  </si>
  <si>
    <t xml:space="preserve">16-Class Plan</t>
  </si>
  <si>
    <t xml:space="preserve">Class-by-class plan (2 classes a week, 8 weeks) for all 4 age groups with activity code, domains, software, SDGs and main outcome. Click a code to open its kit.</t>
  </si>
  <si>
    <t xml:space="preserve">Little Explorers (Ages 5-7)</t>
  </si>
  <si>
    <t xml:space="preserve">Kit list per activity (LE-01 to LE-16). Quantities are PER GROUP unless marked Per class.</t>
  </si>
  <si>
    <t xml:space="preserve">Junior Makers (Ages 8-11)</t>
  </si>
  <si>
    <t xml:space="preserve">Kit list per activity (JM-01 to JM-16). Quantities are PER GROUP unless marked Per class.</t>
  </si>
  <si>
    <t xml:space="preserve">Young Innovators (Ages 12-14)</t>
  </si>
  <si>
    <t xml:space="preserve">Kit list per activity (YI-01 to YI-16). Quantities are PER GROUP unless marked Per class.</t>
  </si>
  <si>
    <t xml:space="preserve">Tech Leaders (Ages 15-17)</t>
  </si>
  <si>
    <t xml:space="preserve">Kit list per activity (TL-01 to TL-16). Quantities are PER GROUP unless marked Per class.</t>
  </si>
  <si>
    <t xml:space="preserve">Master Hardware</t>
  </si>
  <si>
    <t xml:space="preserve">Every component used, by category. Counts and maximum quantities are live formulas reading the four kit tabs.</t>
  </si>
  <si>
    <t xml:space="preserve">Software Guide</t>
  </si>
  <si>
    <t xml:space="preserve">All software tools used, with age suitability and which activities use them.</t>
  </si>
  <si>
    <t xml:space="preserve">Assumptions</t>
  </si>
  <si>
    <t xml:space="preserve">Group size</t>
  </si>
  <si>
    <t xml:space="preserve">1 group = 2 students. Multiply 'Per group' quantities by the number of groups.</t>
  </si>
  <si>
    <t xml:space="preserve">Per class</t>
  </si>
  <si>
    <t xml:space="preserve">Shared per room (3D printer, glue gun, candle for teacher demos). Do not multiply by groups.</t>
  </si>
  <si>
    <t xml:space="preserve">Reusable vs consumable</t>
  </si>
  <si>
    <t xml:space="preserve">Reusable parts are reused every class: order enough for your largest session plus 10-20% spares. Consumables (LEDs, resistors, batteries, tape, fruit) are used up: add them across every session.</t>
  </si>
  <si>
    <t xml:space="preserve">Codes</t>
  </si>
  <si>
    <t xml:space="preserve">LE = Little Explorers (5-7), JM = Junior Makers (8-11), YI = Young Innovators (12-14), TL = Tech Leaders (15-17). Classes 17-18 are capstone projects built from existing kits.</t>
  </si>
  <si>
    <t xml:space="preserve">Safety</t>
  </si>
  <si>
    <t xml:space="preserve">Ages 5-7: all wiring pre-done by the teacher. Flame and gas tests are teacher-only. Li-ion (18650) work is supervised; use protected cells. Relays switch low-voltage loads only.</t>
  </si>
  <si>
    <t xml:space="preserve">16-Class Plan: 4 age groups x 16 classes (2 a week, 8 weeks) + optional capstone showcase after the batch</t>
  </si>
  <si>
    <t xml:space="preserve">Curriculum developed by Qasim Mushtaq, MS Robotics and AI</t>
  </si>
  <si>
    <t xml:space="preserve">Age group</t>
  </si>
  <si>
    <t xml:space="preserve">Phase</t>
  </si>
  <si>
    <t xml:space="preserve">Class (Week)</t>
  </si>
  <si>
    <t xml:space="preserve">Code</t>
  </si>
  <si>
    <t xml:space="preserve">Activity</t>
  </si>
  <si>
    <t xml:space="preserve">Domain</t>
  </si>
  <si>
    <t xml:space="preserve">Second domain</t>
  </si>
  <si>
    <t xml:space="preserve">Mode</t>
  </si>
  <si>
    <t xml:space="preserve">Primary software</t>
  </si>
  <si>
    <t xml:space="preserve">SDGs</t>
  </si>
  <si>
    <t xml:space="preserve">Main learning outcome</t>
  </si>
  <si>
    <t xml:space="preserve">Little Explorers (Ages 5-7)  |  Curious hands, big ideas</t>
  </si>
  <si>
    <t xml:space="preserve">Ages 5-7</t>
  </si>
  <si>
    <t xml:space="preserve">Circuits &amp; Power</t>
  </si>
  <si>
    <t xml:space="preserve">1 (W1)</t>
  </si>
  <si>
    <t xml:space="preserve">LE-01</t>
  </si>
  <si>
    <t xml:space="preserve">Light-Up Paper Circuit Card</t>
  </si>
  <si>
    <t xml:space="preserve">Electronics &amp; Circuits</t>
  </si>
  <si>
    <t xml:space="preserve">-</t>
  </si>
  <si>
    <t xml:space="preserve">Hardware</t>
  </si>
  <si>
    <t xml:space="preserve">No software needed</t>
  </si>
  <si>
    <t xml:space="preserve">SDG 4, SDG 7</t>
  </si>
  <si>
    <t xml:space="preserve">Science: Electricity flows only in a closed loop; Technology: Batteries have a + and a - side; Arts: Designing a personalised card</t>
  </si>
  <si>
    <t xml:space="preserve">2 (W1)</t>
  </si>
  <si>
    <t xml:space="preserve">LE-02</t>
  </si>
  <si>
    <t xml:space="preserve">Push-Button Doorbell</t>
  </si>
  <si>
    <t xml:space="preserve">mBlock 5 / ArduBlock (picture blocks)</t>
  </si>
  <si>
    <t xml:space="preserve">SDG 4, SDG 10</t>
  </si>
  <si>
    <t xml:space="preserve">Science: Pressing a button closes a circuit; Technology: Inputs and outputs; Life Skills: Designing for people with different needs</t>
  </si>
  <si>
    <t xml:space="preserve">3 (W2)</t>
  </si>
  <si>
    <t xml:space="preserve">LE-03</t>
  </si>
  <si>
    <t xml:space="preserve">Lemon Battery LED Lamp</t>
  </si>
  <si>
    <t xml:space="preserve">Power &amp; Energy</t>
  </si>
  <si>
    <t xml:space="preserve">SDG 7, SDG 4</t>
  </si>
  <si>
    <t xml:space="preserve">Science: Chemical energy can become electrical energy; Maths: Counting and comparing results; Engineering: Connecting cells in series</t>
  </si>
  <si>
    <t xml:space="preserve">4 (W2)</t>
  </si>
  <si>
    <t xml:space="preserve">LE-04</t>
  </si>
  <si>
    <t xml:space="preserve">Traffic Light Controller</t>
  </si>
  <si>
    <t xml:space="preserve">Programming &amp; Logic</t>
  </si>
  <si>
    <t xml:space="preserve">SDG 11, SDG 4</t>
  </si>
  <si>
    <t xml:space="preserve">Computing: Sequences: instructions run in order; Maths: Time in seconds; Life Skills: Road safety</t>
  </si>
  <si>
    <t xml:space="preserve">Sensing the World</t>
  </si>
  <si>
    <t xml:space="preserve">5 (W3)</t>
  </si>
  <si>
    <t xml:space="preserve">LE-05</t>
  </si>
  <si>
    <t xml:space="preserve">Automatic Night Lamp</t>
  </si>
  <si>
    <t xml:space="preserve">Sensors &amp; Environment</t>
  </si>
  <si>
    <t xml:space="preserve">SDG 7, SDG 11</t>
  </si>
  <si>
    <t xml:space="preserve">Science: Light and darkness can be measured; Computing: If-then decisions; Life Skills: Saving energy</t>
  </si>
  <si>
    <t xml:space="preserve">6 (W3)</t>
  </si>
  <si>
    <t xml:space="preserve">LE-06</t>
  </si>
  <si>
    <t xml:space="preserve">Hot &amp; Cold Temperature Indicator</t>
  </si>
  <si>
    <t xml:space="preserve">SDG 3, SDG 13</t>
  </si>
  <si>
    <t xml:space="preserve">Science: Hot and cold can be measured; Maths: Comparing bigger and smaller numbers; Computing: Thresholds in decisions</t>
  </si>
  <si>
    <t xml:space="preserve">7 (W4)</t>
  </si>
  <si>
    <t xml:space="preserve">LE-07</t>
  </si>
  <si>
    <t xml:space="preserve">Plant Water Alarm</t>
  </si>
  <si>
    <t xml:space="preserve">SDG 2, SDG 15</t>
  </si>
  <si>
    <t xml:space="preserve">Science: Plants need water to live; Technology: Sensors in farming; Life Skills: Caring for living things</t>
  </si>
  <si>
    <t xml:space="preserve">8 (W4)</t>
  </si>
  <si>
    <t xml:space="preserve">LE-08</t>
  </si>
  <si>
    <t xml:space="preserve">Motion Detector Room Alarm</t>
  </si>
  <si>
    <t xml:space="preserve">Security &amp; Safety</t>
  </si>
  <si>
    <t xml:space="preserve">SDG 11, SDG 16</t>
  </si>
  <si>
    <t xml:space="preserve">Science: Our bodies give off heat; Technology: Motion sensors in security; Life Skills: Keeping homes safe</t>
  </si>
  <si>
    <t xml:space="preserve">Move &amp; Communicate</t>
  </si>
  <si>
    <t xml:space="preserve">9 (W5)</t>
  </si>
  <si>
    <t xml:space="preserve">LE-09</t>
  </si>
  <si>
    <t xml:space="preserve">Waving Robot Arm</t>
  </si>
  <si>
    <t xml:space="preserve">Robotics &amp; Actuation</t>
  </si>
  <si>
    <t xml:space="preserve">SDG 9, SDG 4</t>
  </si>
  <si>
    <t xml:space="preserve">Engineering: Motors create movement; Maths: Turning and angles; Arts: Designing a robot character</t>
  </si>
  <si>
    <t xml:space="preserve">10 (W5)</t>
  </si>
  <si>
    <t xml:space="preserve">LE-10</t>
  </si>
  <si>
    <t xml:space="preserve">Automatic Railway Crossing Gate</t>
  </si>
  <si>
    <t xml:space="preserve">SDG 9, SDG 11</t>
  </si>
  <si>
    <t xml:space="preserve">Engineering: Sensors, decisions and motors working together; Science: Echoes measure distance; Life Skills: Railway safety</t>
  </si>
  <si>
    <t xml:space="preserve">11 (W6)</t>
  </si>
  <si>
    <t xml:space="preserve">LE-11</t>
  </si>
  <si>
    <t xml:space="preserve">Vibrating Brush Robot</t>
  </si>
  <si>
    <t xml:space="preserve">Mechanical Design</t>
  </si>
  <si>
    <t xml:space="preserve">Engineering: Balance and weight change movement; Science: Vibration is a kind of motion; Life Skills: Improving after a test</t>
  </si>
  <si>
    <t xml:space="preserve">12 (W6)</t>
  </si>
  <si>
    <t xml:space="preserve">LE-12</t>
  </si>
  <si>
    <t xml:space="preserve">Morse Code Light Messenger</t>
  </si>
  <si>
    <t xml:space="preserve">IoT &amp; Communication</t>
  </si>
  <si>
    <t xml:space="preserve">SDG 9, SDG 17</t>
  </si>
  <si>
    <t xml:space="preserve">Computing: Information can be sent as patterns (codes); Science: Light and sound carry messages; Life Skills: Listening and taking turns</t>
  </si>
  <si>
    <t xml:space="preserve">Code, Play &amp; AI</t>
  </si>
  <si>
    <t xml:space="preserve">13 (W7)</t>
  </si>
  <si>
    <t xml:space="preserve">LE-13</t>
  </si>
  <si>
    <t xml:space="preserve">Makey Makey Fruit Piano</t>
  </si>
  <si>
    <t xml:space="preserve">Hardware + Software</t>
  </si>
  <si>
    <t xml:space="preserve">Makey Makey Apps (piano)</t>
  </si>
  <si>
    <t xml:space="preserve">SDG 4, SDG 9</t>
  </si>
  <si>
    <t xml:space="preserve">Science: Conductors and insulators; Technology: Inputs control computers; Arts: Making music together</t>
  </si>
  <si>
    <t xml:space="preserve">14 (W7)</t>
  </si>
  <si>
    <t xml:space="preserve">LE-14</t>
  </si>
  <si>
    <t xml:space="preserve">Animated Story App</t>
  </si>
  <si>
    <t xml:space="preserve">App, Web &amp; Game Development</t>
  </si>
  <si>
    <t xml:space="preserve">Software</t>
  </si>
  <si>
    <t xml:space="preserve">ScratchJr</t>
  </si>
  <si>
    <t xml:space="preserve">SDG 4</t>
  </si>
  <si>
    <t xml:space="preserve">Computing: Sequences and debugging; Arts: Storytelling and character design; Life Skills: Planning ideas in order</t>
  </si>
  <si>
    <t xml:space="preserve">15 (W8)</t>
  </si>
  <si>
    <t xml:space="preserve">LE-15</t>
  </si>
  <si>
    <t xml:space="preserve">Catch-the-Fruit Game with Playdough Controller</t>
  </si>
  <si>
    <t xml:space="preserve">Scratch 3</t>
  </si>
  <si>
    <t xml:space="preserve">Computing: Events and scores in a game; Engineering: Designing a controller; Arts: Game characters and sounds</t>
  </si>
  <si>
    <t xml:space="preserve">16 (W8)</t>
  </si>
  <si>
    <t xml:space="preserve">LE-16</t>
  </si>
  <si>
    <t xml:space="preserve">Robot Sorting Rules Game</t>
  </si>
  <si>
    <t xml:space="preserve">AI &amp; Data</t>
  </si>
  <si>
    <t xml:space="preserve">Hands-on (unplugged)</t>
  </si>
  <si>
    <t xml:space="preserve">No software needed (unplugged)</t>
  </si>
  <si>
    <t xml:space="preserve">AI: Machines sort data using rules; Computing: Decision trees and patterns; Life Skills: Clear instructions and fixing mistakes</t>
  </si>
  <si>
    <t xml:space="preserve">Capstone (optional, after the batch)</t>
  </si>
  <si>
    <t xml:space="preserve">Extra A</t>
  </si>
  <si>
    <t xml:space="preserve">Project-based learning: plan, build, test, showcase</t>
  </si>
  <si>
    <t xml:space="preserve">All domains</t>
  </si>
  <si>
    <t xml:space="preserve">Mixed</t>
  </si>
  <si>
    <t xml:space="preserve">Suggested: Light-up invention for my bedroom; Smart plant pot helper; Makey Makey musical instrument; Talking robot face with lights and sounds</t>
  </si>
  <si>
    <t xml:space="preserve">Extra B</t>
  </si>
  <si>
    <t xml:space="preserve">Junior Makers (Ages 8-11)  |  From circuits to coded robots</t>
  </si>
  <si>
    <t xml:space="preserve">Ages 8-11</t>
  </si>
  <si>
    <t xml:space="preserve">Circuits, Code &amp; Sensing</t>
  </si>
  <si>
    <t xml:space="preserve">JM-01</t>
  </si>
  <si>
    <t xml:space="preserve">Series &amp; Parallel Circuit Lab</t>
  </si>
  <si>
    <t xml:space="preserve">PhET Circuit Construction Kit</t>
  </si>
  <si>
    <t xml:space="preserve">Science: Current, voltage and circuit paths; Technology: Using a multimeter safely; Maths: Recording and comparing measurements</t>
  </si>
  <si>
    <t xml:space="preserve">JM-02</t>
  </si>
  <si>
    <t xml:space="preserve">Two-Player Reaction Timer with Scoreboard</t>
  </si>
  <si>
    <t xml:space="preserve">ArduinoBlocks</t>
  </si>
  <si>
    <t xml:space="preserve">SDG 3, SDG 4</t>
  </si>
  <si>
    <t xml:space="preserve">Computing: Variables, random numbers and timing; Maths: Milliseconds and comparing times; Life Skills: Fair play</t>
  </si>
  <si>
    <t xml:space="preserve">JM-03</t>
  </si>
  <si>
    <t xml:space="preserve">Mini Weather Station with OLED Display</t>
  </si>
  <si>
    <t xml:space="preserve">SDG 13, SDG 11</t>
  </si>
  <si>
    <t xml:space="preserve">Science: Weather: temperature, humidity and light; Computing: Reading multiple sensors; Maths: Tables and comparing data</t>
  </si>
  <si>
    <t xml:space="preserve">JM-04</t>
  </si>
  <si>
    <t xml:space="preserve">Smart Dustbin with Fill-Level Indicator</t>
  </si>
  <si>
    <t xml:space="preserve">SDG 11, SDG 12, SDG 3</t>
  </si>
  <si>
    <t xml:space="preserve">Engineering: Combining two sensors and a motor; Computing: Conditions with ranges; Life Skills: Hygiene and clean cities</t>
  </si>
  <si>
    <t xml:space="preserve">Smart Home &amp; Energy</t>
  </si>
  <si>
    <t xml:space="preserve">JM-05</t>
  </si>
  <si>
    <t xml:space="preserve">Rain-Sensing Automatic Window</t>
  </si>
  <si>
    <t xml:space="preserve">SDG 11, SDG 13</t>
  </si>
  <si>
    <t xml:space="preserve">Science: Water conducts electricity; Engineering: Hinges and mechanisms; Computing: Sensor-triggered actions</t>
  </si>
  <si>
    <t xml:space="preserve">JM-06</t>
  </si>
  <si>
    <t xml:space="preserve">Fire &amp; Gas Safety Alarm Panel</t>
  </si>
  <si>
    <t xml:space="preserve">SDG 3, SDG 11</t>
  </si>
  <si>
    <t xml:space="preserve">Science: Fire, smoke and gases; Technology: Safety sensors in buildings; Life Skills: Emergency response</t>
  </si>
  <si>
    <t xml:space="preserve">JM-07</t>
  </si>
  <si>
    <t xml:space="preserve">Temperature-Controlled Smart Fan</t>
  </si>
  <si>
    <t xml:space="preserve">SDG 7, SDG 13</t>
  </si>
  <si>
    <t xml:space="preserve">Engineering: Motor drivers and speed control; Science: Heat and cooling; Computing: Mapping one range to another</t>
  </si>
  <si>
    <t xml:space="preserve">JM-08</t>
  </si>
  <si>
    <t xml:space="preserve">Sun-Tracking Solar Panel</t>
  </si>
  <si>
    <t xml:space="preserve">Science: The sun as an energy source; Engineering: Feedback: sense, compare, move; Maths: Comparing measurements</t>
  </si>
  <si>
    <t xml:space="preserve">Security, Design &amp; Robots</t>
  </si>
  <si>
    <t xml:space="preserve">JM-09</t>
  </si>
  <si>
    <t xml:space="preserve">Home Burglar Alarm with Secret Code</t>
  </si>
  <si>
    <t xml:space="preserve">Computing: Sequences, passwords and states; Technology: Home security systems; Life Skills: Keeping codes private</t>
  </si>
  <si>
    <t xml:space="preserve">JM-10</t>
  </si>
  <si>
    <t xml:space="preserve">3D-Designed Name Badge &amp; Sensor Mount</t>
  </si>
  <si>
    <t xml:space="preserve">Tinkercad 3D</t>
  </si>
  <si>
    <t xml:space="preserve">SDG 9</t>
  </si>
  <si>
    <t xml:space="preserve">Engineering: Designing parts to measured sizes; Maths: Millimetres and 3D shapes; Arts: Product design</t>
  </si>
  <si>
    <t xml:space="preserve">JM-11</t>
  </si>
  <si>
    <t xml:space="preserve">Line Following Robot</t>
  </si>
  <si>
    <t xml:space="preserve">Engineering: Robot chassis, motors and sensors; Computing: Decisions inside a loop; Technology: Robots in industry</t>
  </si>
  <si>
    <t xml:space="preserve">JM-12</t>
  </si>
  <si>
    <t xml:space="preserve">Phone-Controlled RGB Mood Lamp</t>
  </si>
  <si>
    <t xml:space="preserve">ArduinoBlocks + MIT App Inventor</t>
  </si>
  <si>
    <t xml:space="preserve">SDG 7, SDG 9</t>
  </si>
  <si>
    <t xml:space="preserve">Computing: Wireless messages between devices; Science: Colour mixing with light; Technology: Smart homes</t>
  </si>
  <si>
    <t xml:space="preserve">Health, Web, Games &amp; AI</t>
  </si>
  <si>
    <t xml:space="preserve">JM-13</t>
  </si>
  <si>
    <t xml:space="preserve">Step Counter Fitness Tracker</t>
  </si>
  <si>
    <t xml:space="preserve">SDG 3</t>
  </si>
  <si>
    <t xml:space="preserve">Science: Motion and acceleration; Computing: Counting with thresholds; Life Skills: Healthy activity</t>
  </si>
  <si>
    <t xml:space="preserve">JM-14</t>
  </si>
  <si>
    <t xml:space="preserve">Weather Report Webpage</t>
  </si>
  <si>
    <t xml:space="preserve">Online HTML editor (e.g. CodePen)</t>
  </si>
  <si>
    <t xml:space="preserve">SDG 13</t>
  </si>
  <si>
    <t xml:space="preserve">Computing: HTML structure and CSS styling; Arts: Web design; Maths: Presenting data in tables</t>
  </si>
  <si>
    <t xml:space="preserve">JM-15</t>
  </si>
  <si>
    <t xml:space="preserve">Pong Game with a Knob Controller</t>
  </si>
  <si>
    <t xml:space="preserve">mBlock 5 (Arduino + sprites)</t>
  </si>
  <si>
    <t xml:space="preserve">Computing: Mapping values and game loops; Engineering: Building a controller; Arts: Game design</t>
  </si>
  <si>
    <t xml:space="preserve">JM-16</t>
  </si>
  <si>
    <t xml:space="preserve">AI Recycling Sorter</t>
  </si>
  <si>
    <t xml:space="preserve">Teachable Machine</t>
  </si>
  <si>
    <t xml:space="preserve">SDG 12, SDG 13</t>
  </si>
  <si>
    <t xml:space="preserve">AI: Training data and accuracy; Science: Materials and recycling; Life Skills: Fairness: biased data makes biased AI</t>
  </si>
  <si>
    <t xml:space="preserve">Suggested: Automatic pet feeder with a timer; Smart study lamp with posture reminder; Obstacle avoiding delivery car; Classroom noise-level meter</t>
  </si>
  <si>
    <t xml:space="preserve">Young Innovators (Ages 12-14)  |  Real code, real electronics, real problems</t>
  </si>
  <si>
    <t xml:space="preserve">Ages 12-14</t>
  </si>
  <si>
    <t xml:space="preserve">Electronics &amp; Mechanisms</t>
  </si>
  <si>
    <t xml:space="preserve">YI-01</t>
  </si>
  <si>
    <t xml:space="preserve">555 Timer Alarm Siren Circuit</t>
  </si>
  <si>
    <t xml:space="preserve">Falstad Circuit Simulator</t>
  </si>
  <si>
    <t xml:space="preserve">Science: Capacitors, resistance and charging time; Engineering: Integrated circuits without code; Maths: Frequency and period</t>
  </si>
  <si>
    <t xml:space="preserve">YI-02</t>
  </si>
  <si>
    <t xml:space="preserve">Heart Rate Monitoring System</t>
  </si>
  <si>
    <t xml:space="preserve">Arduino IDE 2</t>
  </si>
  <si>
    <t xml:space="preserve">Science: The heart and circulation; Computing: Signal thresholds, timing and averages; Life Skills: Health data privacy</t>
  </si>
  <si>
    <t xml:space="preserve">YI-03</t>
  </si>
  <si>
    <t xml:space="preserve">Smart Classroom Energy Saver</t>
  </si>
  <si>
    <t xml:space="preserve">SDG 7, SDG 13, SDG 11</t>
  </si>
  <si>
    <t xml:space="preserve">Engineering: Relays and automation; Computing: Combined conditions (AND/OR) and timers; Maths: Estimating energy savings</t>
  </si>
  <si>
    <t xml:space="preserve">YI-04</t>
  </si>
  <si>
    <t xml:space="preserve">Stepper Motor Drawing Plotter</t>
  </si>
  <si>
    <t xml:space="preserve">Engineering: Stepper motors and mechanisms; Maths: Coordinates and ratios; Computing: Functions for reusable moves</t>
  </si>
  <si>
    <t xml:space="preserve">Robots &amp; Security</t>
  </si>
  <si>
    <t xml:space="preserve">YI-05</t>
  </si>
  <si>
    <t xml:space="preserve">Obstacle Avoiding Robot with Scanning Sonar</t>
  </si>
  <si>
    <t xml:space="preserve">Engineering: Autonomous navigation; Computing: Functions and comparisons; Technology: How self-driving cars sense</t>
  </si>
  <si>
    <t xml:space="preserve">YI-06</t>
  </si>
  <si>
    <t xml:space="preserve">Bluetooth Robot Car with Phone App</t>
  </si>
  <si>
    <t xml:space="preserve">Arduino IDE 2 + MIT App Inventor</t>
  </si>
  <si>
    <t xml:space="preserve">Computing: Serial communication and app design; Engineering: Wireless control systems; Arts: User interface design</t>
  </si>
  <si>
    <t xml:space="preserve">YI-07</t>
  </si>
  <si>
    <t xml:space="preserve">Gesture-Controlled Robot Arm</t>
  </si>
  <si>
    <t xml:space="preserve">SDG 9, SDG 3</t>
  </si>
  <si>
    <t xml:space="preserve">Engineering: Robot arms and degrees of freedom; Maths: Angles and mapping ranges; Computing: Smoothing noisy sensor data</t>
  </si>
  <si>
    <t xml:space="preserve">YI-08</t>
  </si>
  <si>
    <t xml:space="preserve">RFID Smart Door Lock with Access Log</t>
  </si>
  <si>
    <t xml:space="preserve">SDG 9, SDG 16</t>
  </si>
  <si>
    <t xml:space="preserve">Computing: Arrays, comparisons and logs; Technology: RFID in everyday life; Life Skills: Privacy and access rights</t>
  </si>
  <si>
    <t xml:space="preserve">Power &amp; Wireless</t>
  </si>
  <si>
    <t xml:space="preserve">YI-09</t>
  </si>
  <si>
    <t xml:space="preserve">Rechargeable Power Pack for Robots</t>
  </si>
  <si>
    <t xml:space="preserve">SDG 7, SDG 12</t>
  </si>
  <si>
    <t xml:space="preserve">Engineering: Charging, protection and voltage conversion; Science: Chemical energy storage; Life Skills: Battery safety</t>
  </si>
  <si>
    <t xml:space="preserve">YI-10</t>
  </si>
  <si>
    <t xml:space="preserve">Wireless Doorbell with Visitor Counter</t>
  </si>
  <si>
    <t xml:space="preserve">Computing: Radio communication and addressing; Science: Radio waves and range; Engineering: Two-device systems</t>
  </si>
  <si>
    <t xml:space="preserve">YI-11</t>
  </si>
  <si>
    <t xml:space="preserve">Wi-Fi Automatic Plant Watering System</t>
  </si>
  <si>
    <t xml:space="preserve">Arduino IDE 2 (ESP32)</t>
  </si>
  <si>
    <t xml:space="preserve">SDG 2, SDG 6, SDG 13</t>
  </si>
  <si>
    <t xml:space="preserve">Science: Plants, soil and water use; Computing: Web servers on a microcontroller; Engineering: Pumps and relays</t>
  </si>
  <si>
    <t xml:space="preserve">YI-12</t>
  </si>
  <si>
    <t xml:space="preserve">Plant Monitor Mobile App</t>
  </si>
  <si>
    <t xml:space="preserve">MIT App Inventor</t>
  </si>
  <si>
    <t xml:space="preserve">SDG 2, SDG 9</t>
  </si>
  <si>
    <t xml:space="preserve">Computing: Apps, web requests and events; Arts: User interface design; Life Skills: Designing for a real user</t>
  </si>
  <si>
    <t xml:space="preserve">Software, AI &amp; Design</t>
  </si>
  <si>
    <t xml:space="preserve">YI-13</t>
  </si>
  <si>
    <t xml:space="preserve">Python Maths Quiz Game with Scoreboard</t>
  </si>
  <si>
    <t xml:space="preserve">Python (Thonny)</t>
  </si>
  <si>
    <t xml:space="preserve">Computing: Python variables, loops, conditions, functions; Maths: Arithmetic practice; Life Skills: Giving and using feedback</t>
  </si>
  <si>
    <t xml:space="preserve">YI-14</t>
  </si>
  <si>
    <t xml:space="preserve">Personal Portfolio Website</t>
  </si>
  <si>
    <t xml:space="preserve">SDG 4, SDG 8</t>
  </si>
  <si>
    <t xml:space="preserve">Computing: HTML, CSS and JavaScript; Arts: Layout and visual design; Life Skills: Presenting your work</t>
  </si>
  <si>
    <t xml:space="preserve">YI-15</t>
  </si>
  <si>
    <t xml:space="preserve">School Helpdesk Chatbot</t>
  </si>
  <si>
    <t xml:space="preserve">AI: Rule-based vs learning systems; Computing: Strings, lists and dictionaries; Life Skills: Using AI responsibly</t>
  </si>
  <si>
    <t xml:space="preserve">YI-16</t>
  </si>
  <si>
    <t xml:space="preserve">3D-Printed Plant Monitor Enclosure</t>
  </si>
  <si>
    <t xml:space="preserve">SDG 9, SDG 12</t>
  </si>
  <si>
    <t xml:space="preserve">Engineering: Design for manufacture and tolerances; Maths: Measurement and volume; Arts: Product appearance</t>
  </si>
  <si>
    <t xml:space="preserve">Suggested: Earthquake early-warning alarm; Wi-Fi smart mailbox notifier; Greenhouse ventilation controller; Scheduled pet feeder with phone app</t>
  </si>
  <si>
    <t xml:space="preserve">Tech Leaders (Ages 15-17)  |  Engineering solutions the world needs</t>
  </si>
  <si>
    <t xml:space="preserve">Ages 15-17</t>
  </si>
  <si>
    <t xml:space="preserve">Power, Autonomy &amp; Health</t>
  </si>
  <si>
    <t xml:space="preserve">TL-01</t>
  </si>
  <si>
    <t xml:space="preserve">Solar-Powered Off-Grid Weather Node</t>
  </si>
  <si>
    <t xml:space="preserve">Engineering: Energy budgets and low-power design; Science: Solar energy and battery chemistry; Maths: Power, current and time calculations</t>
  </si>
  <si>
    <t xml:space="preserve">TL-02</t>
  </si>
  <si>
    <t xml:space="preserve">Autonomous Maze Solving Robot</t>
  </si>
  <si>
    <t xml:space="preserve">Engineering: Feedback control (PID); Computing: Algorithms: wall-following and maze solving; Maths: Error, rates and tuning</t>
  </si>
  <si>
    <t xml:space="preserve">TL-03</t>
  </si>
  <si>
    <t xml:space="preserve">Pick-and-Place Robotic Arm with Record &amp; Replay</t>
  </si>
  <si>
    <t xml:space="preserve">Engineering: Mechanisms, torque and degrees of freedom; Computing: Arrays and non-volatile memory; Maths: Trigonometry for arm reach</t>
  </si>
  <si>
    <t xml:space="preserve">TL-04</t>
  </si>
  <si>
    <t xml:space="preserve">Fall Detection Wearable for the Elderly</t>
  </si>
  <si>
    <t xml:space="preserve">SDG 3, SDG 10</t>
  </si>
  <si>
    <t xml:space="preserve">Science: Acceleration and human movement; Computing: Pattern detection and state machines; Life Skills: Designing for vulnerable people</t>
  </si>
  <si>
    <t xml:space="preserve">Connected Systems</t>
  </si>
  <si>
    <t xml:space="preserve">TL-05</t>
  </si>
  <si>
    <t xml:space="preserve">ESP-NOW Wireless Sensor Network</t>
  </si>
  <si>
    <t xml:space="preserve">Computing: Wireless protocols and packets; Engineering: Distributed systems; Maths: Reliability percentages</t>
  </si>
  <si>
    <t xml:space="preserve">TL-06</t>
  </si>
  <si>
    <t xml:space="preserve">Smart Home Cloud Control Hub</t>
  </si>
  <si>
    <t xml:space="preserve">Arduino Cloud</t>
  </si>
  <si>
    <t xml:space="preserve">SDG 7, SDG 9, SDG 11</t>
  </si>
  <si>
    <t xml:space="preserve">Computing: Cloud IoT, MQTT and dashboards; Engineering: Home automation systems; Life Skills: Reliability and safety of smart devices</t>
  </si>
  <si>
    <t xml:space="preserve">TL-07</t>
  </si>
  <si>
    <t xml:space="preserve">Smart Parking Occupancy Dashboard</t>
  </si>
  <si>
    <t xml:space="preserve">SDG 11, SDG 9</t>
  </si>
  <si>
    <t xml:space="preserve">Computing: Web dashboards and real-time data; Engineering: Smart city systems; Maths: Usage statistics</t>
  </si>
  <si>
    <t xml:space="preserve">TL-08</t>
  </si>
  <si>
    <t xml:space="preserve">Two-Factor Smart Locker with Intrusion Alerts</t>
  </si>
  <si>
    <t xml:space="preserve">Computing: Authentication and security logic; Technology: Physical and cyber security; Life Skills: Ethical responsibility for security</t>
  </si>
  <si>
    <t xml:space="preserve">Data, AI &amp; Web</t>
  </si>
  <si>
    <t xml:space="preserve">TL-09</t>
  </si>
  <si>
    <t xml:space="preserve">Sensor Data Logging &amp; Analysis Pipeline</t>
  </si>
  <si>
    <t xml:space="preserve">Python (pandas, matplotlib)</t>
  </si>
  <si>
    <t xml:space="preserve">SDG 4, SDG 11, SDG 13</t>
  </si>
  <si>
    <t xml:space="preserve">AI: Data cleaning, visualisation and analysis; Computing: Python pandas and matplotlib; Science: Environmental patterns</t>
  </si>
  <si>
    <t xml:space="preserve">TL-10</t>
  </si>
  <si>
    <t xml:space="preserve">Machine Learning Rain Predictor</t>
  </si>
  <si>
    <t xml:space="preserve">Python (scikit-learn)</t>
  </si>
  <si>
    <t xml:space="preserve">SDG 13, SDG 2</t>
  </si>
  <si>
    <t xml:space="preserve">AI: Supervised learning, train/test split, accuracy; Science: Weather and humidity; Maths: Probability and evaluation</t>
  </si>
  <si>
    <t xml:space="preserve">TL-11</t>
  </si>
  <si>
    <t xml:space="preserve">AI Fake News Detector</t>
  </si>
  <si>
    <t xml:space="preserve">SDG 4, SDG 16</t>
  </si>
  <si>
    <t xml:space="preserve">AI: Text classification and bias; Life Skills: Media literacy and ethics; Computing: Model evaluation</t>
  </si>
  <si>
    <t xml:space="preserve">TL-12</t>
  </si>
  <si>
    <t xml:space="preserve">Web-Controlled Devices via REST API</t>
  </si>
  <si>
    <t xml:space="preserve">Arduino IDE 2 + Flask</t>
  </si>
  <si>
    <t xml:space="preserve">Computing: REST APIs, HTTP and JSON; Engineering: Full-stack systems; Life Skills: Writing documentation for others</t>
  </si>
  <si>
    <t xml:space="preserve">Security, Robots &amp; Product Design</t>
  </si>
  <si>
    <t xml:space="preserve">TL-13</t>
  </si>
  <si>
    <t xml:space="preserve">Securing an IoT Device</t>
  </si>
  <si>
    <t xml:space="preserve">picoCTF</t>
  </si>
  <si>
    <t xml:space="preserve">Computing: Cryptography, authentication and vulnerabilities; Life Skills: Ethics and the law in hacking; Technology: IoT security</t>
  </si>
  <si>
    <t xml:space="preserve">TL-14</t>
  </si>
  <si>
    <t xml:space="preserve">Autonomous Fire-Fighting Robot</t>
  </si>
  <si>
    <t xml:space="preserve">Engineering: Search behaviour and actuators; Computing: Sensor comparison and state machines; Life Skills: Fire safety</t>
  </si>
  <si>
    <t xml:space="preserve">TL-15</t>
  </si>
  <si>
    <t xml:space="preserve">Parametric Robot Gripper Design</t>
  </si>
  <si>
    <t xml:space="preserve">BlocksCAD</t>
  </si>
  <si>
    <t xml:space="preserve">Engineering: Parametric CAD and tolerances; Maths: Variables, geometry and gear ratios; Arts: Industrial design</t>
  </si>
  <si>
    <t xml:space="preserve">TL-16</t>
  </si>
  <si>
    <t xml:space="preserve">Motion-Controlled Game</t>
  </si>
  <si>
    <t xml:space="preserve">Python (Pygame)</t>
  </si>
  <si>
    <t xml:space="preserve">Computing: Serial communication and game loops; Arts: Game design; Engineering: Human-computer interaction</t>
  </si>
  <si>
    <t xml:space="preserve">Suggested: Autonomous delivery robot; Full-stack IoT product with dashboard; Predictive plant health analytics; Assistive device for a person with a disability</t>
  </si>
  <si>
    <t xml:space="preserve">Domain coverage (classes per domain, primary + second)</t>
  </si>
  <si>
    <t xml:space="preserve">Little Explorers</t>
  </si>
  <si>
    <t xml:space="preserve">Junior Makers</t>
  </si>
  <si>
    <t xml:space="preserve">Young Innovators</t>
  </si>
  <si>
    <t xml:space="preserve">Tech Leaders</t>
  </si>
  <si>
    <t xml:space="preserve">Little Explorers (Ages 5-7): kit per activity</t>
  </si>
  <si>
    <t xml:space="preserve">Quantities per group of 2 students. 'Per class' = shared, do not multiply.</t>
  </si>
  <si>
    <t xml:space="preserve">Category</t>
  </si>
  <si>
    <t xml:space="preserve">Component</t>
  </si>
  <si>
    <t xml:space="preserve">Qty</t>
  </si>
  <si>
    <t xml:space="preserve">Basis</t>
  </si>
  <si>
    <t xml:space="preserve">Type</t>
  </si>
  <si>
    <t xml:space="preserve">Notes</t>
  </si>
  <si>
    <t xml:space="preserve">Class 1 (Week 1) · Light-Up Paper Circuit Card</t>
  </si>
  <si>
    <t xml:space="preserve">Domain: Electronics &amp; Circuits   |   Mode: Hardware   |   Software: No software needed (also: PhET Circuit Construction Kit (teacher demo))
SDGs: 4 Quality Education, 7 Clean Energy</t>
  </si>
  <si>
    <t xml:space="preserve">Displays &amp; Output</t>
  </si>
  <si>
    <t xml:space="preserve">LED 5 mm (assorted)</t>
  </si>
  <si>
    <t xml:space="preserve">Per group</t>
  </si>
  <si>
    <t xml:space="preserve">Consumable</t>
  </si>
  <si>
    <t xml:space="preserve">Power</t>
  </si>
  <si>
    <t xml:space="preserve">Coin cell CR2032</t>
  </si>
  <si>
    <t xml:space="preserve">Wiring &amp; Prototyping</t>
  </si>
  <si>
    <t xml:space="preserve">Copper tape</t>
  </si>
  <si>
    <t xml:space="preserve">30 cm per group</t>
  </si>
  <si>
    <t xml:space="preserve">Craft &amp; Stationery</t>
  </si>
  <si>
    <t xml:space="preserve">Card / chart paper</t>
  </si>
  <si>
    <t xml:space="preserve">Markers</t>
  </si>
  <si>
    <t xml:space="preserve">Tape (paper + double-sided)</t>
  </si>
  <si>
    <t xml:space="preserve">Class 2 (Week 1) · Push-Button Doorbell</t>
  </si>
  <si>
    <t xml:space="preserve">Domain: Electronics &amp; Circuits   |   Mode: Hardware   |   Software: mBlock 5 / ArduBlock (picture blocks) (also: Tinkercad Circuits (teacher demo))
SDGs: 4 Quality Education, 10 Reduced Inequalities</t>
  </si>
  <si>
    <t xml:space="preserve">Microcontrollers &amp; Dev Boards</t>
  </si>
  <si>
    <t xml:space="preserve">Arduino Uno + USB cable</t>
  </si>
  <si>
    <t xml:space="preserve">Reusable</t>
  </si>
  <si>
    <t xml:space="preserve">Pre-wired by teacher</t>
  </si>
  <si>
    <t xml:space="preserve">Actuators &amp; Motor Drivers</t>
  </si>
  <si>
    <t xml:space="preserve">Buzzer</t>
  </si>
  <si>
    <t xml:space="preserve">Passive Components &amp; ICs</t>
  </si>
  <si>
    <t xml:space="preserve">Push button</t>
  </si>
  <si>
    <t xml:space="preserve">Resistor 220 ohm</t>
  </si>
  <si>
    <t xml:space="preserve">Resistor 10k ohm</t>
  </si>
  <si>
    <t xml:space="preserve">Breadboard (half size)</t>
  </si>
  <si>
    <t xml:space="preserve">Jumper wires M-M</t>
  </si>
  <si>
    <t xml:space="preserve">Computers &amp; Equipment</t>
  </si>
  <si>
    <t xml:space="preserve">Laptop</t>
  </si>
  <si>
    <t xml:space="preserve">Class 3 (Week 2) · Lemon Battery LED Lamp</t>
  </si>
  <si>
    <t xml:space="preserve">Domain: Power &amp; Energy   |   Mode: Hardware   |   Software: No software needed
SDGs: 7 Clean Energy, 4 Quality Education</t>
  </si>
  <si>
    <t xml:space="preserve">Red works best</t>
  </si>
  <si>
    <t xml:space="preserve">Alligator clip leads</t>
  </si>
  <si>
    <t xml:space="preserve">Science Consumables</t>
  </si>
  <si>
    <t xml:space="preserve">Lemons</t>
  </si>
  <si>
    <t xml:space="preserve">Galvanized nails</t>
  </si>
  <si>
    <t xml:space="preserve">Copper coins</t>
  </si>
  <si>
    <t xml:space="preserve">Class 4 (Week 2) · Traffic Light Controller</t>
  </si>
  <si>
    <t xml:space="preserve">Domain: Programming &amp; Logic   |   Mode: Hardware   |   Software: mBlock 5 / ArduBlock (picture blocks) (also: Tinkercad Circuits (teacher demo))
SDGs: 11 Sustainable Cities, 4 Quality Education</t>
  </si>
  <si>
    <t xml:space="preserve">Red, yellow, green</t>
  </si>
  <si>
    <t xml:space="preserve">Class 5 (Week 3) · Automatic Night Lamp</t>
  </si>
  <si>
    <t xml:space="preserve">Domain: Sensors &amp; Environment   |   Mode: Hardware   |   Software: mBlock 5 / ArduBlock (picture blocks)
SDGs: 7 Clean Energy, 11 Sustainable Cities</t>
  </si>
  <si>
    <t xml:space="preserve">Sensors</t>
  </si>
  <si>
    <t xml:space="preserve">LDR module</t>
  </si>
  <si>
    <t xml:space="preserve">Jumper wires M-F</t>
  </si>
  <si>
    <t xml:space="preserve">Class 6 (Week 3) · Hot &amp; Cold Temperature Indicator</t>
  </si>
  <si>
    <t xml:space="preserve">Domain: Sensors &amp; Environment   |   Mode: Hardware   |   Software: mBlock 5 / ArduBlock (picture blocks)
SDGs: 3 Good Health, 13 Climate Action</t>
  </si>
  <si>
    <t xml:space="preserve">DHT22 sensor</t>
  </si>
  <si>
    <t xml:space="preserve">Red and blue</t>
  </si>
  <si>
    <t xml:space="preserve">Class 7 (Week 4) · Plant Water Alarm</t>
  </si>
  <si>
    <t xml:space="preserve">Domain: Sensors &amp; Environment   |   Mode: Hardware   |   Software: mBlock 5 / ArduBlock (picture blocks)
SDGs: 2 Zero Hunger, 15 Life on Land</t>
  </si>
  <si>
    <t xml:space="preserve">Soil moisture sensor</t>
  </si>
  <si>
    <t xml:space="preserve">Plant pot with soil</t>
  </si>
  <si>
    <t xml:space="preserve">Water container</t>
  </si>
  <si>
    <t xml:space="preserve">Class 8 (Week 4) · Motion Detector Room Alarm</t>
  </si>
  <si>
    <t xml:space="preserve">Domain: Security &amp; Safety   |   Mode: Hardware   |   Software: mBlock 5 / ArduBlock (picture blocks)
SDGs: 11 Sustainable Cities, 16 Peace &amp; Justice</t>
  </si>
  <si>
    <t xml:space="preserve">PIR motion sensor</t>
  </si>
  <si>
    <t xml:space="preserve">Class 9 (Week 5) · Waving Robot Arm</t>
  </si>
  <si>
    <t xml:space="preserve">Domain: Robotics &amp; Actuation   |   Mode: Hardware   |   Software: mBlock 5 / ArduBlock (picture blocks)
SDGs: 9 Industry &amp; Innovation, 4 Quality Education</t>
  </si>
  <si>
    <t xml:space="preserve">Servo SG90</t>
  </si>
  <si>
    <t xml:space="preserve">Cardboard sheet</t>
  </si>
  <si>
    <t xml:space="preserve">Googly eyes</t>
  </si>
  <si>
    <t xml:space="preserve">Class 10 (Week 5) · Automatic Railway Crossing Gate</t>
  </si>
  <si>
    <t xml:space="preserve">Domain: Robotics &amp; Actuation   |   Mode: Hardware   |   Software: mBlock 5 / ArduBlock (picture blocks)
SDGs: 9 Industry &amp; Innovation, 11 Sustainable Cities</t>
  </si>
  <si>
    <t xml:space="preserve">Ultrasonic sensor HC-SR04</t>
  </si>
  <si>
    <t xml:space="preserve">Red</t>
  </si>
  <si>
    <t xml:space="preserve">Ice cream sticks</t>
  </si>
  <si>
    <t xml:space="preserve">Gate arm</t>
  </si>
  <si>
    <t xml:space="preserve">Class 11 (Week 6) · Vibrating Brush Robot</t>
  </si>
  <si>
    <t xml:space="preserve">Domain: Mechanical Design   |   Mode: Hardware   |   Software: No software needed
SDGs: 9 Industry &amp; Innovation, 4 Quality Education</t>
  </si>
  <si>
    <t xml:space="preserve">Robot Platforms &amp; Kits</t>
  </si>
  <si>
    <t xml:space="preserve">Brush Bot kit</t>
  </si>
  <si>
    <t xml:space="preserve">Class 12 (Week 6) · Morse Code Light Messenger</t>
  </si>
  <si>
    <t xml:space="preserve">Domain: IoT &amp; Communication   |   Mode: Hardware   |   Software: mBlock 5 / ArduBlock (picture blocks)
SDGs: 9 Industry &amp; Innovation, 17 Partnerships</t>
  </si>
  <si>
    <t xml:space="preserve">Printed templates</t>
  </si>
  <si>
    <t xml:space="preserve">Morse picture chart</t>
  </si>
  <si>
    <t xml:space="preserve">Class 13 (Week 7) · Makey Makey Fruit Piano</t>
  </si>
  <si>
    <t xml:space="preserve">Domain: Programming &amp; Logic   |   Mode: Hardware + Software   |   Software: Makey Makey Apps (piano) (also: Scratch 3)
SDGs: 4 Quality Education, 9 Industry &amp; Innovation</t>
  </si>
  <si>
    <t xml:space="preserve">Makey Makey kit</t>
  </si>
  <si>
    <t xml:space="preserve">Aluminium foil</t>
  </si>
  <si>
    <t xml:space="preserve">Fruits (bananas etc.)</t>
  </si>
  <si>
    <t xml:space="preserve">Class 14 (Week 7) · Animated Story App</t>
  </si>
  <si>
    <t xml:space="preserve">Domain: App, Web &amp; Game Development   |   Mode: Software   |   Software: ScratchJr (also: Scratch 3)
SDGs: 4 Quality Education</t>
  </si>
  <si>
    <t xml:space="preserve">Tablet</t>
  </si>
  <si>
    <t xml:space="preserve">Or laptop with ScratchJr desktop</t>
  </si>
  <si>
    <t xml:space="preserve">Story planning sheet</t>
  </si>
  <si>
    <t xml:space="preserve">Class 15 (Week 8) · Catch-the-Fruit Game with Playdough Controller</t>
  </si>
  <si>
    <t xml:space="preserve">Domain: App, Web &amp; Game Development + Programming &amp; Logic   |   Mode: Hardware + Software   |   Software: Scratch 3 (also: Makey Makey Apps)
SDGs: 4 Quality Education</t>
  </si>
  <si>
    <t xml:space="preserve">Conductive playdough</t>
  </si>
  <si>
    <t xml:space="preserve">Class 16 (Week 8) · Robot Sorting Rules Game</t>
  </si>
  <si>
    <t xml:space="preserve">Domain: AI &amp; Data   |   Mode: Hands-on (unplugged)   |   Software: No software needed (unplugged)
SDGs: 4 Quality Education, 9 Industry &amp; Innovation</t>
  </si>
  <si>
    <t xml:space="preserve">Picture cards</t>
  </si>
  <si>
    <t xml:space="preserve">Question tree</t>
  </si>
  <si>
    <t xml:space="preserve">Junior Makers (Ages 8-11): kit per activity</t>
  </si>
  <si>
    <t xml:space="preserve">Class 1 (Week 1) · Series &amp; Parallel Circuit Lab</t>
  </si>
  <si>
    <t xml:space="preserve">Domain: Electronics &amp; Circuits   |   Mode: Hardware + Software   |   Software: PhET Circuit Construction Kit (also: Tinkercad Circuits)
SDGs: 4 Quality Education, 7 Clean Energy</t>
  </si>
  <si>
    <t xml:space="preserve">Slide switch</t>
  </si>
  <si>
    <t xml:space="preserve">9V battery + snap</t>
  </si>
  <si>
    <t xml:space="preserve">Digital multimeter</t>
  </si>
  <si>
    <t xml:space="preserve">Class 2 (Week 1) · Two-Player Reaction Timer with Scoreboard</t>
  </si>
  <si>
    <t xml:space="preserve">Domain: Programming &amp; Logic   |   Mode: Hardware   |   Software: ArduinoBlocks (also: Wokwi; Arduino IDE 2)
SDGs: 3 Good Health, 4 Quality Education</t>
  </si>
  <si>
    <t xml:space="preserve">OLED 0.96 in I2C</t>
  </si>
  <si>
    <t xml:space="preserve">Class 3 (Week 2) · Mini Weather Station with OLED Display</t>
  </si>
  <si>
    <t xml:space="preserve">Domain: Sensors &amp; Environment   |   Mode: Hardware   |   Software: ArduinoBlocks (also: Wokwi (DHT22 + OLED))
SDGs: 13 Climate Action, 11 Sustainable Cities</t>
  </si>
  <si>
    <t xml:space="preserve">Class 4 (Week 2) · Smart Dustbin with Fill-Level Indicator</t>
  </si>
  <si>
    <t xml:space="preserve">Domain: Robotics &amp; Actuation   |   Mode: Hardware   |   Software: ArduinoBlocks (also: Tinkercad Circuits; Wokwi)
SDGs: 11 Sustainable Cities, 12 Responsible Consumption, 3 Good Health</t>
  </si>
  <si>
    <t xml:space="preserve">Green, yellow, red</t>
  </si>
  <si>
    <t xml:space="preserve">Box for bin</t>
  </si>
  <si>
    <t xml:space="preserve">Class 5 (Week 3) · Rain-Sensing Automatic Window</t>
  </si>
  <si>
    <t xml:space="preserve">Domain: Sensors &amp; Environment + Mechanical Design   |   Mode: Hardware   |   Software: ArduinoBlocks (also: Tinkercad Circuits)
SDGs: 11 Sustainable Cities, 13 Climate Action</t>
  </si>
  <si>
    <t xml:space="preserve">Rain sensor</t>
  </si>
  <si>
    <t xml:space="preserve">Model window</t>
  </si>
  <si>
    <t xml:space="preserve">Class 6 (Week 3) · Fire &amp; Gas Safety Alarm Panel</t>
  </si>
  <si>
    <t xml:space="preserve">Domain: Security &amp; Safety + Sensors &amp; Environment   |   Mode: Hardware   |   Software: ArduinoBlocks (also: Wokwi (MQ-2))
SDGs: 3 Good Health, 11 Sustainable Cities</t>
  </si>
  <si>
    <t xml:space="preserve">Flame sensor</t>
  </si>
  <si>
    <t xml:space="preserve">MQ-2 gas sensor</t>
  </si>
  <si>
    <t xml:space="preserve">Green, red</t>
  </si>
  <si>
    <t xml:space="preserve">Candle</t>
  </si>
  <si>
    <t xml:space="preserve">Teacher only</t>
  </si>
  <si>
    <t xml:space="preserve">Class 7 (Week 4) · Temperature-Controlled Smart Fan</t>
  </si>
  <si>
    <t xml:space="preserve">Domain: Robotics &amp; Actuation   |   Mode: Hardware   |   Software: ArduinoBlocks (also: Arduino IDE 2)
SDGs: 7 Clean Energy, 13 Climate Action</t>
  </si>
  <si>
    <t xml:space="preserve">DC hobby motor</t>
  </si>
  <si>
    <t xml:space="preserve">With fan blade</t>
  </si>
  <si>
    <t xml:space="preserve">L298N motor driver</t>
  </si>
  <si>
    <t xml:space="preserve">Potentiometer 10k</t>
  </si>
  <si>
    <t xml:space="preserve">4xAA battery pack</t>
  </si>
  <si>
    <t xml:space="preserve">Motor power</t>
  </si>
  <si>
    <t xml:space="preserve">Class 8 (Week 4) · Sun-Tracking Solar Panel</t>
  </si>
  <si>
    <t xml:space="preserve">Domain: Power &amp; Energy + Sensors &amp; Environment   |   Mode: Hardware   |   Software: ArduinoBlocks (also: Tinkercad Circuits)
SDGs: 7 Clean Energy, 13 Climate Action</t>
  </si>
  <si>
    <t xml:space="preserve">Small solar panel</t>
  </si>
  <si>
    <t xml:space="preserve">Panel mount</t>
  </si>
  <si>
    <t xml:space="preserve">Class 9 (Week 5) · Home Burglar Alarm with Secret Code</t>
  </si>
  <si>
    <t xml:space="preserve">Domain: Security &amp; Safety   |   Mode: Hardware   |   Software: ArduinoBlocks (also: Arduino IDE 2)
SDGs: 11 Sustainable Cities, 16 Peace &amp; Justice</t>
  </si>
  <si>
    <t xml:space="preserve">Class 10 (Week 5) · 3D-Designed Name Badge &amp; Sensor Mount</t>
  </si>
  <si>
    <t xml:space="preserve">Domain: Mechanical Design   |   Mode: Software   |   Software: Tinkercad 3D (also: Tinkercad Codeblocks; UltiMaker Cura)
SDGs: 9 Industry &amp; Innovation</t>
  </si>
  <si>
    <t xml:space="preserve">3D printer</t>
  </si>
  <si>
    <t xml:space="preserve">PLA filament</t>
  </si>
  <si>
    <t xml:space="preserve">1 spool per term</t>
  </si>
  <si>
    <t xml:space="preserve">Class 11 (Week 6) · Line Following Robot</t>
  </si>
  <si>
    <t xml:space="preserve">Domain: Robotics &amp; Actuation   |   Mode: Hardware   |   Software: ArduinoBlocks (also: mBlock 5; Arduino IDE 2)
SDGs: 9 Industry &amp; Innovation</t>
  </si>
  <si>
    <t xml:space="preserve">2WD robot chassis kit</t>
  </si>
  <si>
    <t xml:space="preserve">IR sensor module</t>
  </si>
  <si>
    <t xml:space="preserve">Screwdriver set</t>
  </si>
  <si>
    <t xml:space="preserve">Class 12 (Week 6) · Phone-Controlled RGB Mood Lamp</t>
  </si>
  <si>
    <t xml:space="preserve">Domain: IoT &amp; Communication + App, Web &amp; Game Development   |   Mode: Hardware + Software   |   Software: ArduinoBlocks + MIT App Inventor (also: Serial Bluetooth Terminal)
SDGs: 7 Clean Energy, 9 Industry &amp; Innovation</t>
  </si>
  <si>
    <t xml:space="preserve">Communication Modules</t>
  </si>
  <si>
    <t xml:space="preserve">Bluetooth module HC-05</t>
  </si>
  <si>
    <t xml:space="preserve">RGB LED</t>
  </si>
  <si>
    <t xml:space="preserve">Resistor 1k ohm</t>
  </si>
  <si>
    <t xml:space="preserve">HC-05 divider</t>
  </si>
  <si>
    <t xml:space="preserve">Android smartphone</t>
  </si>
  <si>
    <t xml:space="preserve">Class 13 (Week 7) · Step Counter Fitness Tracker</t>
  </si>
  <si>
    <t xml:space="preserve">Domain: Sensors &amp; Environment   |   Mode: Hardware   |   Software: ArduinoBlocks (also: Wokwi (MPU6050 + OLED))
SDGs: 3 Good Health</t>
  </si>
  <si>
    <t xml:space="preserve">MPU6050 IMU</t>
  </si>
  <si>
    <t xml:space="preserve">Class 14 (Week 7) · Weather Report Webpage</t>
  </si>
  <si>
    <t xml:space="preserve">Domain: App, Web &amp; Game Development   |   Mode: Software   |   Software: Online HTML editor (e.g. CodePen) (also: Google Slides)
SDGs: 13 Climate Action</t>
  </si>
  <si>
    <t xml:space="preserve">Class 15 (Week 8) · Pong Game with a Knob Controller</t>
  </si>
  <si>
    <t xml:space="preserve">Domain: App, Web &amp; Game Development   |   Mode: Hardware + Software   |   Software: mBlock 5 (Arduino + sprites) (also: Scratch 3)
SDGs: 4 Quality Education</t>
  </si>
  <si>
    <t xml:space="preserve">Class 16 (Week 8) · AI Recycling Sorter</t>
  </si>
  <si>
    <t xml:space="preserve">Domain: AI &amp; Data   |   Mode: Software   |   Software: Teachable Machine
SDGs: 12 Responsible Consumption, 13 Climate Action</t>
  </si>
  <si>
    <t xml:space="preserve">Webcam</t>
  </si>
  <si>
    <t xml:space="preserve">Or built-in camera</t>
  </si>
  <si>
    <t xml:space="preserve">Results sheet</t>
  </si>
  <si>
    <t xml:space="preserve">Young Innovators (Ages 12-14): kit per activity</t>
  </si>
  <si>
    <t xml:space="preserve">Class 1 (Week 1) · 555 Timer Alarm Siren Circuit</t>
  </si>
  <si>
    <t xml:space="preserve">Domain: Electronics &amp; Circuits   |   Mode: Hardware   |   Software: Falstad Circuit Simulator (also: Tinkercad Circuits (has a 555))
SDGs: 4 Quality Education, 9 Industry &amp; Innovation</t>
  </si>
  <si>
    <t xml:space="preserve">555 timer IC</t>
  </si>
  <si>
    <t xml:space="preserve">Capacitor 10 uF</t>
  </si>
  <si>
    <t xml:space="preserve">Capacitor 10 nF</t>
  </si>
  <si>
    <t xml:space="preserve">Capacitor 100 uF</t>
  </si>
  <si>
    <t xml:space="preserve">Class 2 (Week 1) · Heart Rate Monitoring System</t>
  </si>
  <si>
    <t xml:space="preserve">Domain: Sensors &amp; Environment   |   Mode: Hardware   |   Software: Arduino IDE 2 (also: Wokwi (OLED practice))
SDGs: 3 Good Health</t>
  </si>
  <si>
    <t xml:space="preserve">Pulse sensor</t>
  </si>
  <si>
    <t xml:space="preserve">Class 3 (Week 2) · Smart Classroom Energy Saver</t>
  </si>
  <si>
    <t xml:space="preserve">Domain: Power &amp; Energy + Sensors &amp; Environment   |   Mode: Hardware   |   Software: Arduino IDE 2 (also: Wokwi; Tinkercad Circuits)
SDGs: 7 Clean Energy, 13 Climate Action, 11 Sustainable Cities</t>
  </si>
  <si>
    <t xml:space="preserve">Relay module (1-channel)</t>
  </si>
  <si>
    <t xml:space="preserve">Low-voltage LED lamp (5 V)</t>
  </si>
  <si>
    <t xml:space="preserve">Class 4 (Week 2) · Stepper Motor Drawing Plotter</t>
  </si>
  <si>
    <t xml:space="preserve">Domain: Mechanical Design + Programming &amp; Logic   |   Mode: Hardware   |   Software: Arduino IDE 2 (also: Wokwi (stepper))
SDGs: 9 Industry &amp; Innovation</t>
  </si>
  <si>
    <t xml:space="preserve">Stepper 28BYJ-48 + ULN2003</t>
  </si>
  <si>
    <t xml:space="preserve">Pen lift</t>
  </si>
  <si>
    <t xml:space="preserve">Frame</t>
  </si>
  <si>
    <t xml:space="preserve">Class 5 (Week 3) · Obstacle Avoiding Robot with Scanning Sonar</t>
  </si>
  <si>
    <t xml:space="preserve">Domain: Robotics &amp; Actuation   |   Mode: Hardware   |   Software: Arduino IDE 2 (also: ArduinoBlocks)
SDGs: 9 Industry &amp; Innovation, 11 Sustainable Cities</t>
  </si>
  <si>
    <t xml:space="preserve">Class 6 (Week 3) · Bluetooth Robot Car with Phone App</t>
  </si>
  <si>
    <t xml:space="preserve">Domain: IoT &amp; Communication + App, Web &amp; Game Development   |   Mode: Hardware + Software   |   Software: Arduino IDE 2 + MIT App Inventor (also: Serial Bluetooth Terminal)
SDGs: 9 Industry &amp; Innovation</t>
  </si>
  <si>
    <t xml:space="preserve">Headlights</t>
  </si>
  <si>
    <t xml:space="preserve">Class 7 (Week 4) · Gesture-Controlled Robot Arm</t>
  </si>
  <si>
    <t xml:space="preserve">Domain: Robotics &amp; Actuation   |   Mode: Hardware   |   Software: Arduino IDE 2 (also: Wokwi (MPU6050 + servo))
SDGs: 9 Industry &amp; Innovation, 3 Good Health</t>
  </si>
  <si>
    <t xml:space="preserve">Servo power</t>
  </si>
  <si>
    <t xml:space="preserve">Glue gun + glue sticks</t>
  </si>
  <si>
    <t xml:space="preserve">Arm structure</t>
  </si>
  <si>
    <t xml:space="preserve">Class 8 (Week 4) · RFID Smart Door Lock with Access Log</t>
  </si>
  <si>
    <t xml:space="preserve">Domain: Security &amp; Safety   |   Mode: Hardware   |   Software: Arduino IDE 2 (also: Wokwi (servo + OLED practice))
SDGs: 9 Industry &amp; Innovation, 16 Peace &amp; Justice</t>
  </si>
  <si>
    <t xml:space="preserve">Security &amp; Identification</t>
  </si>
  <si>
    <t xml:space="preserve">RFID RC522 + cards</t>
  </si>
  <si>
    <t xml:space="preserve">Class 9 (Week 5) · Rechargeable Power Pack for Robots</t>
  </si>
  <si>
    <t xml:space="preserve">Domain: Power &amp; Energy + Electronics &amp; Circuits   |   Mode: Hardware   |   Software: Arduino IDE 2 (also: Falstad (voltage dividers))
SDGs: 7 Clean Energy, 12 Responsible Consumption</t>
  </si>
  <si>
    <t xml:space="preserve">Voltage divider</t>
  </si>
  <si>
    <t xml:space="preserve">18650 cell + holder</t>
  </si>
  <si>
    <t xml:space="preserve">Protected cells only</t>
  </si>
  <si>
    <t xml:space="preserve">TP4056 charger module</t>
  </si>
  <si>
    <t xml:space="preserve">LM2596 buck converter</t>
  </si>
  <si>
    <t xml:space="preserve">Class 10 (Week 5) · Wireless Doorbell with Visitor Counter</t>
  </si>
  <si>
    <t xml:space="preserve">Domain: IoT &amp; Communication   |   Mode: Hardware   |   Software: Arduino IDE 2
SDGs: 9 Industry &amp; Innovation, 11 Sustainable Cities</t>
  </si>
  <si>
    <t xml:space="preserve">Transmitter + receiver</t>
  </si>
  <si>
    <t xml:space="preserve">NRF24L01 module</t>
  </si>
  <si>
    <t xml:space="preserve">NRF power smoothing</t>
  </si>
  <si>
    <t xml:space="preserve">Class 11 (Week 6) · Wi-Fi Automatic Plant Watering System</t>
  </si>
  <si>
    <t xml:space="preserve">Domain: Sensors &amp; Environment + IoT &amp; Communication   |   Mode: Hardware   |   Software: Arduino IDE 2 (ESP32) (also: Wokwi (ESP32))
SDGs: 2 Zero Hunger, 6 Clean Water, 13 Climate Action</t>
  </si>
  <si>
    <t xml:space="preserve">ESP32 Dev Board + USB cable</t>
  </si>
  <si>
    <t xml:space="preserve">Mini water pump + tube</t>
  </si>
  <si>
    <t xml:space="preserve">Pump power</t>
  </si>
  <si>
    <t xml:space="preserve">Class 12 (Week 6) · Plant Monitor Mobile App</t>
  </si>
  <si>
    <t xml:space="preserve">Domain: App, Web &amp; Game Development   |   Mode: Software   |   Software: MIT App Inventor
SDGs: 2 Zero Hunger, 9 Industry &amp; Innovation</t>
  </si>
  <si>
    <t xml:space="preserve">Screen sketch sheet</t>
  </si>
  <si>
    <t xml:space="preserve">Class 13 (Week 7) · Python Maths Quiz Game with Scoreboard</t>
  </si>
  <si>
    <t xml:space="preserve">Domain: Programming &amp; Logic   |   Mode: Software   |   Software: Python (Thonny) (also: Trinket)
SDGs: 4 Quality Education</t>
  </si>
  <si>
    <t xml:space="preserve">Class 14 (Week 7) · Personal Portfolio Website</t>
  </si>
  <si>
    <t xml:space="preserve">Domain: App, Web &amp; Game Development   |   Mode: Software   |   Software: Online HTML editor (e.g. CodePen) (also: VS Code)
SDGs: 4 Quality Education, 8 Decent Work</t>
  </si>
  <si>
    <t xml:space="preserve">Class 15 (Week 8) · School Helpdesk Chatbot</t>
  </si>
  <si>
    <t xml:space="preserve">Domain: AI &amp; Data   |   Mode: Software   |   Software: Python (Thonny) (also: Teachable Machine)
SDGs: 4 Quality Education, 9 Industry &amp; Innovation</t>
  </si>
  <si>
    <t xml:space="preserve">Class 16 (Week 8) · 3D-Printed Plant Monitor Enclosure</t>
  </si>
  <si>
    <t xml:space="preserve">Domain: Mechanical Design   |   Mode: Software   |   Software: Tinkercad 3D (also: BlocksCAD; UltiMaker Cura)
SDGs: 9 Industry &amp; Innovation, 12 Responsible Consumption</t>
  </si>
  <si>
    <t xml:space="preserve">Tech Leaders (Ages 15-17): kit per activity</t>
  </si>
  <si>
    <t xml:space="preserve">Class 1 (Week 1) · Solar-Powered Off-Grid Weather Node</t>
  </si>
  <si>
    <t xml:space="preserve">Domain: Power &amp; Energy + Electronics &amp; Circuits   |   Mode: Hardware   |   Software: Arduino IDE 2 (ESP32) (also: Arduino Cloud)
SDGs: 7 Clean Energy, 13 Climate Action</t>
  </si>
  <si>
    <t xml:space="preserve">Class 2 (Week 1) · Autonomous Maze Solving Robot</t>
  </si>
  <si>
    <t xml:space="preserve">Domain: Robotics &amp; Actuation + Programming &amp; Logic   |   Mode: Hardware   |   Software: Arduino IDE 2
SDGs: 9 Industry &amp; Innovation, 11 Sustainable Cities</t>
  </si>
  <si>
    <t xml:space="preserve">Maze walls</t>
  </si>
  <si>
    <t xml:space="preserve">Class 3 (Week 2) · Pick-and-Place Robotic Arm with Record &amp; Replay</t>
  </si>
  <si>
    <t xml:space="preserve">Domain: Mechanical Design   |   Mode: Hardware   |   Software: Arduino IDE 2 (also: Wokwi (servos + pots))
SDGs: 9 Industry &amp; Innovation</t>
  </si>
  <si>
    <t xml:space="preserve">Servo MG995</t>
  </si>
  <si>
    <t xml:space="preserve">Base and shoulder</t>
  </si>
  <si>
    <t xml:space="preserve">Wrist and gripper</t>
  </si>
  <si>
    <t xml:space="preserve">Servo supply</t>
  </si>
  <si>
    <t xml:space="preserve">Class 4 (Week 2) · Fall Detection Wearable for the Elderly</t>
  </si>
  <si>
    <t xml:space="preserve">Domain: Sensors &amp; Environment + IoT &amp; Communication   |   Mode: Hardware   |   Software: Arduino IDE 2 (ESP32) (also: Arduino Cloud (alerts))
SDGs: 3 Good Health, 10 Reduced Inequalities</t>
  </si>
  <si>
    <t xml:space="preserve">Wearable power</t>
  </si>
  <si>
    <t xml:space="preserve">Class 5 (Week 3) · ESP-NOW Wireless Sensor Network</t>
  </si>
  <si>
    <t xml:space="preserve">Domain: IoT &amp; Communication   |   Mode: Hardware   |   Software: Arduino IDE 2 (ESP32)
SDGs: 9 Industry &amp; Innovation, 11 Sustainable Cities</t>
  </si>
  <si>
    <t xml:space="preserve">3 nodes + base (can pair groups)</t>
  </si>
  <si>
    <t xml:space="preserve">Sound sensor KY-037</t>
  </si>
  <si>
    <t xml:space="preserve">Class 6 (Week 3) · Smart Home Cloud Control Hub</t>
  </si>
  <si>
    <t xml:space="preserve">Domain: IoT &amp; Communication   |   Mode: Hardware   |   Software: Arduino Cloud (also: Node-RED / MQTT)
SDGs: 7 Clean Energy, 9 Industry &amp; Innovation, 11 Sustainable Cities</t>
  </si>
  <si>
    <t xml:space="preserve">Relay module (4-channel)</t>
  </si>
  <si>
    <t xml:space="preserve">5 V DC fan</t>
  </si>
  <si>
    <t xml:space="preserve">Class 7 (Week 4) · Smart Parking Occupancy Dashboard</t>
  </si>
  <si>
    <t xml:space="preserve">Domain: Sensors &amp; Environment   |   Mode: Hardware   |   Software: Arduino IDE 2 (ESP32) (also: Arduino Cloud)
SDGs: 11 Sustainable Cities, 9 Industry &amp; Innovation</t>
  </si>
  <si>
    <t xml:space="preserve">3 red, 3 green</t>
  </si>
  <si>
    <t xml:space="preserve">Echo divider</t>
  </si>
  <si>
    <t xml:space="preserve">Car park model</t>
  </si>
  <si>
    <t xml:space="preserve">Class 8 (Week 4) · Two-Factor Smart Locker with Intrusion Alerts</t>
  </si>
  <si>
    <t xml:space="preserve">Domain: Security &amp; Safety   |   Mode: Hardware   |   Software: Arduino IDE 2 (ESP32)
SDGs: 9 Industry &amp; Innovation, 16 Peace &amp; Justice</t>
  </si>
  <si>
    <t xml:space="preserve">4x4 matrix keypad</t>
  </si>
  <si>
    <t xml:space="preserve">Class 9 (Week 5) · Sensor Data Logging &amp; Analysis Pipeline</t>
  </si>
  <si>
    <t xml:space="preserve">Domain: AI &amp; Data   |   Mode: Hardware + Software   |   Software: Python (pandas, matplotlib) (also: Google Sheets + Looker Studio)
SDGs: 4 Quality Education, 11 Sustainable Cities, 13 Climate Action</t>
  </si>
  <si>
    <t xml:space="preserve">Class 10 (Week 5) · Machine Learning Rain Predictor</t>
  </si>
  <si>
    <t xml:space="preserve">Domain: AI &amp; Data   |   Mode: Hardware + Software   |   Software: Python (scikit-learn) (also: Google Colab)
SDGs: 13 Climate Action, 2 Zero Hunger</t>
  </si>
  <si>
    <t xml:space="preserve">Class 11 (Week 6) · AI Fake News Detector</t>
  </si>
  <si>
    <t xml:space="preserve">Domain: AI &amp; Data   |   Mode: Software   |   Software: Python (scikit-learn) (also: Google Colab; Teachable Machine)
SDGs: 4 Quality Education, 16 Peace &amp; Justice</t>
  </si>
  <si>
    <t xml:space="preserve">Class 12 (Week 6) · Web-Controlled Devices via REST API</t>
  </si>
  <si>
    <t xml:space="preserve">Domain: App, Web &amp; Game Development + IoT &amp; Communication   |   Mode: Hardware + Software   |   Software: Arduino IDE 2 + Flask (also: Postman)
SDGs: 9 Industry &amp; Innovation</t>
  </si>
  <si>
    <t xml:space="preserve">Class 13 (Week 7) · Securing an IoT Device</t>
  </si>
  <si>
    <t xml:space="preserve">Domain: Security &amp; Safety   |   Mode: Software   |   Software: picoCTF (also: Arduino Cloud (hub settings))
SDGs: 9 Industry &amp; Innovation, 16 Peace &amp; Justice</t>
  </si>
  <si>
    <t xml:space="preserve">Class 14 (Week 7) · Autonomous Fire-Fighting Robot</t>
  </si>
  <si>
    <t xml:space="preserve">Domain: Robotics &amp; Actuation + Security &amp; Safety   |   Mode: Hardware   |   Software: Arduino IDE 2
SDGs: 3 Good Health, 11 Sustainable Cities</t>
  </si>
  <si>
    <t xml:space="preserve">Class 15 (Week 8) · Parametric Robot Gripper Design</t>
  </si>
  <si>
    <t xml:space="preserve">Domain: Mechanical Design   |   Mode: Software   |   Software: BlocksCAD (also: Tinkercad 3D; UltiMaker Cura)
SDGs: 9 Industry &amp; Innovation, 12 Responsible Consumption</t>
  </si>
  <si>
    <t xml:space="preserve">Class 16 (Week 8) · Motion-Controlled Game</t>
  </si>
  <si>
    <t xml:space="preserve">Domain: App, Web &amp; Game Development + Programming &amp; Logic   |   Mode: Hardware + Software   |   Software: Python (Pygame) (also: Arduino IDE 2)
SDGs: 4 Quality Education, 9 Industry &amp; Innovation</t>
  </si>
  <si>
    <t xml:space="preserve">Joystick module</t>
  </si>
  <si>
    <t xml:space="preserve">Master Hardware List (all 64 activities)</t>
  </si>
  <si>
    <t xml:space="preserve">Columns F-L are live formulas. 'Max qty per group' is what one reusable kit must contain; multiply by groups running at the same time.</t>
  </si>
  <si>
    <t xml:space="preserve">#</t>
  </si>
  <si>
    <t xml:space="preserve">Recommended spec</t>
  </si>
  <si>
    <t xml:space="preserve">Activities using it</t>
  </si>
  <si>
    <t xml:space="preserve">LE</t>
  </si>
  <si>
    <t xml:space="preserve">JM</t>
  </si>
  <si>
    <t xml:space="preserve">YI</t>
  </si>
  <si>
    <t xml:space="preserve">TL</t>
  </si>
  <si>
    <t xml:space="preserve">Max qty per group (single activity)</t>
  </si>
  <si>
    <t xml:space="preserve">Max qty per class</t>
  </si>
  <si>
    <t xml:space="preserve">Activity codes</t>
  </si>
  <si>
    <t xml:space="preserve">Buying note</t>
  </si>
  <si>
    <t xml:space="preserve">Microcontrollers &amp; Dev Boards  (3 items)</t>
  </si>
  <si>
    <t xml:space="preserve">Arduino Uno R3 (CH340 clone fine) + USB-B cable</t>
  </si>
  <si>
    <t xml:space="preserve">JM-02, JM-03, JM-04, JM-05, JM-06, JM-07, JM-08, JM-09, JM-11, JM-12, JM-13, JM-15, LE-02, LE-04, LE-05, LE-06, LE-07, LE-08, LE-09, LE-10, LE-12, TL-02, TL-03, TL-14, TL-16, YI-02, YI-03, YI-04, YI-05, YI-06, YI-07, YI-08, YI-09, YI-10</t>
  </si>
  <si>
    <t xml:space="preserve">Core board for ages 5-14. Keep 10% spares.</t>
  </si>
  <si>
    <t xml:space="preserve">ESP32 DevKit V1 (Wi-Fi + Bluetooth) + micro-USB data cable</t>
  </si>
  <si>
    <t xml:space="preserve">TL-01, TL-04, TL-05, TL-06, TL-07, TL-08, TL-09, TL-10, TL-12, YI-11</t>
  </si>
  <si>
    <t xml:space="preserve">IoT and wireless builds, ages 12-17.</t>
  </si>
  <si>
    <t xml:space="preserve">Makey Makey Classic (board, USB cable, 7 alligator clips)</t>
  </si>
  <si>
    <t xml:space="preserve">LE-13, LE-15</t>
  </si>
  <si>
    <t xml:space="preserve">Ages 5-7 interactive play.</t>
  </si>
  <si>
    <t xml:space="preserve">Robot Platforms &amp; Kits  (2 items)</t>
  </si>
  <si>
    <t xml:space="preserve">2WD acrylic chassis, 2 TT gear motors, wheels, castor, 4xAA holder</t>
  </si>
  <si>
    <t xml:space="preserve">JM-11, TL-02, TL-14, YI-05, YI-06</t>
  </si>
  <si>
    <t xml:space="preserve">Existing CodiBot kits can replace this.</t>
  </si>
  <si>
    <t xml:space="preserve">Toothbrush head + coin vibration motor + coin cell holder</t>
  </si>
  <si>
    <t xml:space="preserve">Sensors  (13 items)</t>
  </si>
  <si>
    <t xml:space="preserve">HC-SR04 ultrasonic distance sensor</t>
  </si>
  <si>
    <t xml:space="preserve">JM-04, LE-10, TL-02, TL-07, YI-05</t>
  </si>
  <si>
    <t xml:space="preserve">Most used sensor across all ages.</t>
  </si>
  <si>
    <t xml:space="preserve">IR obstacle/line sensor (TCRT5000 or FC-51)</t>
  </si>
  <si>
    <t xml:space="preserve">LDR light sensor (module or LDR + 10k resistor)</t>
  </si>
  <si>
    <t xml:space="preserve">JM-03, JM-08, LE-05, TL-05, TL-09, TL-10, YI-03</t>
  </si>
  <si>
    <t xml:space="preserve">DHT22 temperature &amp; humidity sensor</t>
  </si>
  <si>
    <t xml:space="preserve">JM-03, JM-07, LE-06, TL-01, TL-05, TL-06, TL-09, TL-10, TL-12, YI-11</t>
  </si>
  <si>
    <t xml:space="preserve">Also works in the Wokwi simulator.</t>
  </si>
  <si>
    <t xml:space="preserve">MQ-2 smoke/LPG gas module</t>
  </si>
  <si>
    <t xml:space="preserve">Needs 24-48 h burn-in; gas demo teacher-operated.</t>
  </si>
  <si>
    <t xml:space="preserve">IR flame sensor module</t>
  </si>
  <si>
    <t xml:space="preserve">JM-06, TL-14</t>
  </si>
  <si>
    <t xml:space="preserve">Use a candle only under teacher supervision.</t>
  </si>
  <si>
    <t xml:space="preserve">Rain/water-drop sensor with control board</t>
  </si>
  <si>
    <t xml:space="preserve">JM-05, TL-10</t>
  </si>
  <si>
    <t xml:space="preserve">Capacitive soil moisture sensor</t>
  </si>
  <si>
    <t xml:space="preserve">LE-07, YI-11</t>
  </si>
  <si>
    <t xml:space="preserve">KY-037 microphone sound sensor</t>
  </si>
  <si>
    <t xml:space="preserve">TL-05, TL-09</t>
  </si>
  <si>
    <t xml:space="preserve">Heart-rate pulse sensor (optical)</t>
  </si>
  <si>
    <t xml:space="preserve">HC-SR501 PIR motion sensor</t>
  </si>
  <si>
    <t xml:space="preserve">JM-09, LE-08, TL-06, TL-08, YI-03</t>
  </si>
  <si>
    <t xml:space="preserve">MPU6050 accelerometer + gyroscope (GY-521)</t>
  </si>
  <si>
    <t xml:space="preserve">JM-13, TL-04, YI-07</t>
  </si>
  <si>
    <t xml:space="preserve">Order pre-soldered headers.</t>
  </si>
  <si>
    <t xml:space="preserve">KY-023 dual-axis joystick</t>
  </si>
  <si>
    <t xml:space="preserve">Security &amp; Identification  (2 items)</t>
  </si>
  <si>
    <t xml:space="preserve">RC522 RFID reader with 2 cards/tags</t>
  </si>
  <si>
    <t xml:space="preserve">TL-08, YI-08</t>
  </si>
  <si>
    <t xml:space="preserve">4x4 membrane keypad</t>
  </si>
  <si>
    <t xml:space="preserve">Communication Modules  (2 items)</t>
  </si>
  <si>
    <t xml:space="preserve">HC-05 Bluetooth serial module</t>
  </si>
  <si>
    <t xml:space="preserve">JM-12, YI-06</t>
  </si>
  <si>
    <t xml:space="preserve">Android phones only (not iPhone).</t>
  </si>
  <si>
    <t xml:space="preserve">NRF24L01 2.4 GHz transceiver + adapter board</t>
  </si>
  <si>
    <t xml:space="preserve">Always used in pairs.</t>
  </si>
  <si>
    <t xml:space="preserve">Actuators &amp; Motor Drivers  (9 items)</t>
  </si>
  <si>
    <t xml:space="preserve">SG90 micro servo with horns</t>
  </si>
  <si>
    <t xml:space="preserve">JM-04, JM-05, JM-08, LE-09, LE-10, TL-03, TL-08, TL-14, YI-04, YI-05, YI-07, YI-08</t>
  </si>
  <si>
    <t xml:space="preserve">Keep 20% spares; gears strip.</t>
  </si>
  <si>
    <t xml:space="preserve">MG995 metal-gear servo</t>
  </si>
  <si>
    <t xml:space="preserve">For robotic arm base/shoulder.</t>
  </si>
  <si>
    <t xml:space="preserve">3-6 V DC motor with leads</t>
  </si>
  <si>
    <t xml:space="preserve">L298N dual H-bridge driver</t>
  </si>
  <si>
    <t xml:space="preserve">JM-07, JM-11, TL-02, TL-14, YI-05, YI-06</t>
  </si>
  <si>
    <t xml:space="preserve">28BYJ-48 5 V stepper with ULN2003 driver board</t>
  </si>
  <si>
    <t xml:space="preserve">5 V single-channel relay module</t>
  </si>
  <si>
    <t xml:space="preserve">TL-12, TL-14, YI-03, YI-11</t>
  </si>
  <si>
    <t xml:space="preserve">Switch low-voltage loads only.</t>
  </si>
  <si>
    <t xml:space="preserve">5 V four-channel relay module</t>
  </si>
  <si>
    <t xml:space="preserve">3-6 V submersible pump + 1 m silicone tube</t>
  </si>
  <si>
    <t xml:space="preserve">5 V active buzzer</t>
  </si>
  <si>
    <t xml:space="preserve">JM-02, JM-05, JM-06, JM-09, JM-12, LE-02, LE-04, LE-07, LE-08, LE-10, LE-12, TL-04, TL-08, YI-01, YI-02, YI-06, YI-08, YI-10</t>
  </si>
  <si>
    <t xml:space="preserve">Displays &amp; Output  (5 items)</t>
  </si>
  <si>
    <t xml:space="preserve">5 mm LEDs red, yellow, green, blue, white</t>
  </si>
  <si>
    <t xml:space="preserve">JM-01, JM-02, JM-04, JM-05, JM-06, JM-08, JM-09, LE-01, LE-02, LE-03, LE-04, LE-05, LE-06, LE-07, LE-08, LE-10, LE-12, TL-07, TL-12, YI-01, YI-02, YI-06, YI-08</t>
  </si>
  <si>
    <t xml:space="preserve">Buy packs of 100 per colour.</t>
  </si>
  <si>
    <t xml:space="preserve">5 mm RGB LED, common cathode</t>
  </si>
  <si>
    <t xml:space="preserve">0.96 in SSD1306 I2C OLED</t>
  </si>
  <si>
    <t xml:space="preserve">JM-02, JM-03, JM-06, JM-07, JM-13, TL-05, TL-08, YI-02, YI-03, YI-08, YI-09, YI-10</t>
  </si>
  <si>
    <t xml:space="preserve">Used in 20+ activities.</t>
  </si>
  <si>
    <t xml:space="preserve">5 V USB LED lamp or LED strip section</t>
  </si>
  <si>
    <t xml:space="preserve">TL-06, TL-12, YI-03</t>
  </si>
  <si>
    <t xml:space="preserve">Safe relay load.</t>
  </si>
  <si>
    <t xml:space="preserve">5 V mini DC fan</t>
  </si>
  <si>
    <t xml:space="preserve">TL-06, TL-14</t>
  </si>
  <si>
    <t xml:space="preserve">Passive Components &amp; ICs  (10 items)</t>
  </si>
  <si>
    <t xml:space="preserve">220 ohm 1/4 W</t>
  </si>
  <si>
    <t xml:space="preserve">JM-01, JM-02, JM-04, JM-05, JM-06, JM-09, JM-12, LE-02, LE-04, LE-05, LE-06, LE-07, LE-08, LE-10, LE-12, TL-07, TL-12, YI-01, YI-02, YI-06, YI-08</t>
  </si>
  <si>
    <t xml:space="preserve">1k ohm 1/4 W</t>
  </si>
  <si>
    <t xml:space="preserve">JM-12, TL-07, YI-01, YI-06</t>
  </si>
  <si>
    <t xml:space="preserve">10k ohm 1/4 W</t>
  </si>
  <si>
    <t xml:space="preserve">JM-02, JM-03, JM-09, JM-12, JM-13, JM-15, LE-02, LE-06, LE-09, LE-12, TL-01, TL-03, TL-04, TL-07, TL-16, YI-01, YI-06, YI-09, YI-10</t>
  </si>
  <si>
    <t xml:space="preserve">10 nF ceramic</t>
  </si>
  <si>
    <t xml:space="preserve">10 uF electrolytic</t>
  </si>
  <si>
    <t xml:space="preserve">YI-01, YI-10</t>
  </si>
  <si>
    <t xml:space="preserve">100 uF electrolytic</t>
  </si>
  <si>
    <t xml:space="preserve">NE555 timer IC</t>
  </si>
  <si>
    <t xml:space="preserve">10k rotary potentiometer</t>
  </si>
  <si>
    <t xml:space="preserve">JM-07, JM-15, TL-03, YI-01</t>
  </si>
  <si>
    <t xml:space="preserve">12 mm tactile push button with cap</t>
  </si>
  <si>
    <t xml:space="preserve">JM-02, JM-09, JM-13, JM-15, LE-02, LE-09, LE-12, TL-03, TL-04, TL-16, YI-07, YI-10</t>
  </si>
  <si>
    <t xml:space="preserve">SPDT slide switch</t>
  </si>
  <si>
    <t xml:space="preserve">Power  (7 items)</t>
  </si>
  <si>
    <t xml:space="preserve">CR2032 3 V coin cell</t>
  </si>
  <si>
    <t xml:space="preserve">LE-01, LE-11</t>
  </si>
  <si>
    <t xml:space="preserve">9 V battery with snap connector</t>
  </si>
  <si>
    <t xml:space="preserve">JM-01, YI-01</t>
  </si>
  <si>
    <t xml:space="preserve">4xAA holder with switch + batteries</t>
  </si>
  <si>
    <t xml:space="preserve">JM-07, JM-11, TL-02, TL-03, TL-14, YI-04, YI-05, YI-06, YI-07, YI-11</t>
  </si>
  <si>
    <t xml:space="preserve">Rechargeable AA cells recommended.</t>
  </si>
  <si>
    <t xml:space="preserve">18650 Li-ion cell with holder</t>
  </si>
  <si>
    <t xml:space="preserve">TL-01, TL-04, YI-09</t>
  </si>
  <si>
    <t xml:space="preserve">Teacher-supervised; protected cells only.</t>
  </si>
  <si>
    <t xml:space="preserve">TP4056 Li-ion charger with protection</t>
  </si>
  <si>
    <t xml:space="preserve">TL-01, YI-09</t>
  </si>
  <si>
    <t xml:space="preserve">LM2596 adjustable step-down module</t>
  </si>
  <si>
    <t xml:space="preserve">TL-03, YI-09</t>
  </si>
  <si>
    <t xml:space="preserve">5-6 V 1 W mini solar panel with leads</t>
  </si>
  <si>
    <t xml:space="preserve">JM-08, TL-01</t>
  </si>
  <si>
    <t xml:space="preserve">Wiring &amp; Prototyping  (6 items)</t>
  </si>
  <si>
    <t xml:space="preserve">400-point breadboard</t>
  </si>
  <si>
    <t xml:space="preserve">JM-01, JM-02, JM-03, JM-04, JM-05, JM-06, JM-07, JM-08, JM-09, JM-12, JM-13, JM-15, LE-02, LE-04, LE-05, LE-06, LE-07, LE-08, LE-09, LE-10, LE-12, TL-01, TL-03, TL-04, TL-05, TL-06, TL-07, TL-08, TL-09, TL-10, TL-12, TL-16, YI-01, YI-02, YI-03, YI-07, YI-08, YI-09, YI-10, YI-11</t>
  </si>
  <si>
    <t xml:space="preserve">20 cm male-male jumper wires</t>
  </si>
  <si>
    <t xml:space="preserve">JM-01, JM-02, JM-03, JM-04, JM-05, JM-06, JM-07, JM-08, JM-09, JM-11, JM-12, JM-13, JM-15, LE-02, LE-04, LE-05, LE-06, LE-07, LE-08, LE-09, LE-10, LE-12, TL-01, TL-02, TL-03, TL-04, TL-05, TL-06, TL-07, TL-08, TL-09, TL-10, TL-12, TL-14, TL-16, YI-01, YI-02, YI-03, YI-04, YI-05, YI-06, YI-07, YI-08, YI-09, YI-10, YI-11</t>
  </si>
  <si>
    <t xml:space="preserve">20 cm male-female jumper wires</t>
  </si>
  <si>
    <t xml:space="preserve">JM-02, JM-03, JM-04, JM-05, JM-06, JM-07, JM-08, JM-09, JM-11, JM-12, JM-13, LE-05, LE-07, LE-08, LE-10, TL-01, TL-02, TL-03, TL-04, TL-05, TL-06, TL-07, TL-08, TL-09, TL-10, TL-12, TL-14, TL-16, YI-02, YI-03, YI-04, YI-05, YI-06, YI-07, YI-08, YI-09, YI-10, YI-11</t>
  </si>
  <si>
    <t xml:space="preserve">Alligator clip test leads</t>
  </si>
  <si>
    <t xml:space="preserve">Conductive copper tape roll</t>
  </si>
  <si>
    <t xml:space="preserve">Kitchen foil roll</t>
  </si>
  <si>
    <t xml:space="preserve">Computers &amp; Equipment  (9 items)</t>
  </si>
  <si>
    <t xml:space="preserve">Laptop with Arduino IDE / mBlock / browser</t>
  </si>
  <si>
    <t xml:space="preserve">JM-01, JM-02, JM-03, JM-04, JM-05, JM-06, JM-07, JM-08, JM-09, JM-10, JM-11, JM-12, JM-13, JM-14, JM-15, JM-16, LE-02, LE-04, LE-05, LE-06, LE-07, LE-08, LE-09, LE-10, LE-12, LE-13, LE-15, TL-01, TL-02, TL-03, TL-04, TL-05, TL-06, TL-07, TL-08, TL-09, TL-10, TL-11, TL-12, TL-13, TL-14, TL-15, TL-16, YI-02, YI-03, YI-04, YI-05, YI-06, YI-07, YI-08, YI-09, YI-10, YI-11, YI-12, YI-13, YI-14, YI-15, YI-16</t>
  </si>
  <si>
    <t xml:space="preserve">Install CH340 drivers before class.</t>
  </si>
  <si>
    <t xml:space="preserve">Tablet with ScratchJr</t>
  </si>
  <si>
    <t xml:space="preserve">A laptop running ScratchJr desktop also works.</t>
  </si>
  <si>
    <t xml:space="preserve">Android phone with MIT AI2 Companion / Bluetooth app</t>
  </si>
  <si>
    <t xml:space="preserve">JM-12, YI-06, YI-12</t>
  </si>
  <si>
    <t xml:space="preserve">Teacher phones are fine.</t>
  </si>
  <si>
    <t xml:space="preserve">USB webcam (or built-in laptop camera)</t>
  </si>
  <si>
    <t xml:space="preserve">FDM 3D printer</t>
  </si>
  <si>
    <t xml:space="preserve">JM-10, TL-15, YI-16</t>
  </si>
  <si>
    <t xml:space="preserve">1.75 mm PLA filament</t>
  </si>
  <si>
    <t xml:space="preserve">JM-01, JM-08, TL-01, YI-01, YI-09</t>
  </si>
  <si>
    <t xml:space="preserve">Hot glue gun with sticks</t>
  </si>
  <si>
    <t xml:space="preserve">Teacher-operated under 12.</t>
  </si>
  <si>
    <t xml:space="preserve">Small screwdriver set</t>
  </si>
  <si>
    <t xml:space="preserve">JM-11, TL-02, YI-05</t>
  </si>
  <si>
    <t xml:space="preserve">Craft &amp; Stationery  (10 items)</t>
  </si>
  <si>
    <t xml:space="preserve">A4 card or chart paper</t>
  </si>
  <si>
    <t xml:space="preserve">LE-01, LE-16</t>
  </si>
  <si>
    <t xml:space="preserve">Corrugated cardboard sheet / box</t>
  </si>
  <si>
    <t xml:space="preserve">JM-04, JM-05, JM-08, LE-09, TL-02, TL-03, TL-07, YI-04</t>
  </si>
  <si>
    <t xml:space="preserve">Washable colour markers (set)</t>
  </si>
  <si>
    <t xml:space="preserve">LE-01, LE-09, LE-16, YI-04</t>
  </si>
  <si>
    <t xml:space="preserve">Paper tape and double-sided tape</t>
  </si>
  <si>
    <t xml:space="preserve">LE-01, LE-11, YI-04</t>
  </si>
  <si>
    <t xml:space="preserve">Wooden ice cream sticks</t>
  </si>
  <si>
    <t xml:space="preserve">LE-10, YI-07</t>
  </si>
  <si>
    <t xml:space="preserve">LE-09, LE-11</t>
  </si>
  <si>
    <t xml:space="preserve">Salt playdough</t>
  </si>
  <si>
    <t xml:space="preserve">Printed templates / worksheets / picture cards</t>
  </si>
  <si>
    <t xml:space="preserve">JM-16, LE-12, LE-14, LE-16, YI-12</t>
  </si>
  <si>
    <t xml:space="preserve">Small pot with soil (and a plant)</t>
  </si>
  <si>
    <t xml:space="preserve">Small water container/tray</t>
  </si>
  <si>
    <t xml:space="preserve">Science Consumables  (5 items)</t>
  </si>
  <si>
    <t xml:space="preserve">Fresh lemons</t>
  </si>
  <si>
    <t xml:space="preserve">Buy on the day.</t>
  </si>
  <si>
    <t xml:space="preserve">Zinc-coated nails</t>
  </si>
  <si>
    <t xml:space="preserve">Copper coins or copper strips</t>
  </si>
  <si>
    <t xml:space="preserve">Bananas / conductive fruits</t>
  </si>
  <si>
    <t xml:space="preserve">Small candle (flame tests, teacher only)</t>
  </si>
  <si>
    <t xml:space="preserve">Summary</t>
  </si>
  <si>
    <t xml:space="preserve">Total unique components</t>
  </si>
  <si>
    <t xml:space="preserve">Tool</t>
  </si>
  <si>
    <t xml:space="preserve">Cost</t>
  </si>
  <si>
    <t xml:space="preserve">Best age</t>
  </si>
  <si>
    <t xml:space="preserve">Works with</t>
  </si>
  <si>
    <t xml:space="preserve">Website</t>
  </si>
  <si>
    <t xml:space="preserve">Best for</t>
  </si>
  <si>
    <t xml:space="preserve">Watch out</t>
  </si>
  <si>
    <t xml:space="preserve">Primary in</t>
  </si>
  <si>
    <t xml:space="preserve">Alternative in</t>
  </si>
  <si>
    <t xml:space="preserve">mBlock 5 / ArduBlock</t>
  </si>
  <si>
    <t xml:space="preserve">Picture-block coding for Arduino</t>
  </si>
  <si>
    <t xml:space="preserve">Free</t>
  </si>
  <si>
    <t xml:space="preserve">5-11</t>
  </si>
  <si>
    <t xml:space="preserve">Arduino Uno</t>
  </si>
  <si>
    <t xml:space="preserve">mblock.cc</t>
  </si>
  <si>
    <t xml:space="preserve">Arduino activities for ages 5-11 without typing code</t>
  </si>
  <si>
    <t xml:space="preserve">Teacher pre-wires circuits for ages 5-7.</t>
  </si>
  <si>
    <t xml:space="preserve">LE-02, LE-04, LE-05, LE-06, LE-07, LE-08, LE-09, LE-10, LE-12, JM-15</t>
  </si>
  <si>
    <t xml:space="preserve">Block coding for Arduino (shows C++ it generates)</t>
  </si>
  <si>
    <t xml:space="preserve">8-11</t>
  </si>
  <si>
    <t xml:space="preserve">Arduino Uno, ESP32</t>
  </si>
  <si>
    <t xml:space="preserve">arduinoblocks.com</t>
  </si>
  <si>
    <t xml:space="preserve">Block-to-text bridge for Junior Makers</t>
  </si>
  <si>
    <t xml:space="preserve">Needs the ArduinoBlocks Connector app to upload.</t>
  </si>
  <si>
    <t xml:space="preserve">JM-02, JM-03, JM-04, JM-05, JM-06, JM-07, JM-08, JM-09, JM-11, JM-12, JM-13</t>
  </si>
  <si>
    <t xml:space="preserve">Text coding in C/C++</t>
  </si>
  <si>
    <t xml:space="preserve">12-17</t>
  </si>
  <si>
    <t xml:space="preserve">arduino.cc/en/software</t>
  </si>
  <si>
    <t xml:space="preserve">All Young Innovators and Tech Leaders hardware</t>
  </si>
  <si>
    <t xml:space="preserve">Install CH340 and ESP32 board packages before class.</t>
  </si>
  <si>
    <t xml:space="preserve">YI-02, YI-03, YI-04, YI-05, YI-06, YI-07, YI-08, YI-09, YI-10, YI-11, TL-01, TL-02, TL-03, TL-04, TL-05, TL-07, TL-08, TL-12, TL-14</t>
  </si>
  <si>
    <t xml:space="preserve">JM-02, JM-07, JM-09, JM-11, TL-16</t>
  </si>
  <si>
    <t xml:space="preserve">Tinkercad Circuits</t>
  </si>
  <si>
    <t xml:space="preserve">Online circuit + Arduino simulator</t>
  </si>
  <si>
    <t xml:space="preserve">8-17</t>
  </si>
  <si>
    <t xml:space="preserve">Arduino Uno, breadboards, common parts</t>
  </si>
  <si>
    <t xml:space="preserve">tinkercad.com/circuits</t>
  </si>
  <si>
    <t xml:space="preserve">Safe wiring practice before real hardware</t>
  </si>
  <si>
    <t xml:space="preserve">Use teacher class codes for under-13s.</t>
  </si>
  <si>
    <t xml:space="preserve">LE-02, LE-04, JM-01, JM-04, JM-05, JM-08, YI-01, YI-03</t>
  </si>
  <si>
    <t xml:space="preserve">Wokwi</t>
  </si>
  <si>
    <t xml:space="preserve">Online Arduino/ESP32 simulator</t>
  </si>
  <si>
    <t xml:space="preserve">10-17</t>
  </si>
  <si>
    <t xml:space="preserve">Uno, ESP32 (not ESP8266)</t>
  </si>
  <si>
    <t xml:space="preserve">wokwi.com</t>
  </si>
  <si>
    <t xml:space="preserve">Testing code and circuits before building</t>
  </si>
  <si>
    <t xml:space="preserve">Has DHT22, MPU6050, OLED, servo, stepper, keypad; no pulse, rain or NRF24.</t>
  </si>
  <si>
    <t xml:space="preserve">JM-02, JM-03, JM-04, JM-06, JM-13, YI-02, YI-03, YI-04, YI-07, YI-08, YI-11, TL-03</t>
  </si>
  <si>
    <t xml:space="preserve">Circuit simulation</t>
  </si>
  <si>
    <t xml:space="preserve">5-14</t>
  </si>
  <si>
    <t xml:space="preserve">Browser</t>
  </si>
  <si>
    <t xml:space="preserve">phet.colorado.edu</t>
  </si>
  <si>
    <t xml:space="preserve">Seeing current flow in circuits</t>
  </si>
  <si>
    <t xml:space="preserve">Analog circuit simulator</t>
  </si>
  <si>
    <t xml:space="preserve">falstad.com/circuit</t>
  </si>
  <si>
    <t xml:space="preserve">555 timers, capacitors, voltage dividers</t>
  </si>
  <si>
    <t xml:space="preserve">Makey Makey Apps</t>
  </si>
  <si>
    <t xml:space="preserve">Ready-made web apps (piano, games)</t>
  </si>
  <si>
    <t xml:space="preserve">Makey Makey</t>
  </si>
  <si>
    <t xml:space="preserve">makeymakey.com</t>
  </si>
  <si>
    <t xml:space="preserve">Instant music and games with no coding</t>
  </si>
  <si>
    <t xml:space="preserve">Picture-block storytelling</t>
  </si>
  <si>
    <t xml:space="preserve">5-7</t>
  </si>
  <si>
    <t xml:space="preserve">Tablet / desktop</t>
  </si>
  <si>
    <t xml:space="preserve">scratchjr.org</t>
  </si>
  <si>
    <t xml:space="preserve">First coding and animated stories</t>
  </si>
  <si>
    <t xml:space="preserve">Block coding for games and animation</t>
  </si>
  <si>
    <t xml:space="preserve">7-14</t>
  </si>
  <si>
    <t xml:space="preserve">Browser, Makey Makey</t>
  </si>
  <si>
    <t xml:space="preserve">scratch.mit.edu</t>
  </si>
  <si>
    <t xml:space="preserve">Games with physical controllers</t>
  </si>
  <si>
    <t xml:space="preserve">LE-13, LE-14, JM-15</t>
  </si>
  <si>
    <t xml:space="preserve">Block coding for Android apps</t>
  </si>
  <si>
    <t xml:space="preserve">Android, Bluetooth, Wi-Fi</t>
  </si>
  <si>
    <t xml:space="preserve">appinventor.mit.edu</t>
  </si>
  <si>
    <t xml:space="preserve">Phone apps that control hardware</t>
  </si>
  <si>
    <t xml:space="preserve">iPhones cannot pair with HC-05.</t>
  </si>
  <si>
    <t xml:space="preserve">3D design with shapes</t>
  </si>
  <si>
    <t xml:space="preserve">Exports STL</t>
  </si>
  <si>
    <t xml:space="preserve">tinkercad.com</t>
  </si>
  <si>
    <t xml:space="preserve">Mounts, badges and enclosures</t>
  </si>
  <si>
    <t xml:space="preserve">JM-10, YI-16</t>
  </si>
  <si>
    <t xml:space="preserve">Block-based parametric 3D CAD</t>
  </si>
  <si>
    <t xml:space="preserve">blockscad3d.com</t>
  </si>
  <si>
    <t xml:space="preserve">Parametric parts such as grippers and gears</t>
  </si>
  <si>
    <t xml:space="preserve">UltiMaker Cura</t>
  </si>
  <si>
    <t xml:space="preserve">3D print slicer</t>
  </si>
  <si>
    <t xml:space="preserve">Most FDM printers</t>
  </si>
  <si>
    <t xml:space="preserve">ultimaker.com</t>
  </si>
  <si>
    <t xml:space="preserve">Preparing prints, time and cost estimates</t>
  </si>
  <si>
    <t xml:space="preserve">JM-10, YI-16, TL-15</t>
  </si>
  <si>
    <t xml:space="preserve">No-code machine learning</t>
  </si>
  <si>
    <t xml:space="preserve">5-17 (teacher-led under 10)</t>
  </si>
  <si>
    <t xml:space="preserve">Browser, webcam</t>
  </si>
  <si>
    <t xml:space="preserve">teachablemachine.withgoogle.com</t>
  </si>
  <si>
    <t xml:space="preserve">Image and sound classifiers</t>
  </si>
  <si>
    <t xml:space="preserve">YI-15, TL-11</t>
  </si>
  <si>
    <t xml:space="preserve">Beginner Python IDE</t>
  </si>
  <si>
    <t xml:space="preserve">Windows/Mac/Linux</t>
  </si>
  <si>
    <t xml:space="preserve">thonny.org</t>
  </si>
  <si>
    <t xml:space="preserve">Quiz games and chatbots</t>
  </si>
  <si>
    <t xml:space="preserve">YI-13, YI-15, TL-09, TL-10, TL-11, TL-16</t>
  </si>
  <si>
    <t xml:space="preserve">Python data stack</t>
  </si>
  <si>
    <t xml:space="preserve">pandas, matplotlib, scikit-learn, Pygame, Flask</t>
  </si>
  <si>
    <t xml:space="preserve">15-17</t>
  </si>
  <si>
    <t xml:space="preserve">Laptop or Google Colab</t>
  </si>
  <si>
    <t xml:space="preserve">python.org / colab.research.google.com</t>
  </si>
  <si>
    <t xml:space="preserve">Data analysis, ML, games and web servers</t>
  </si>
  <si>
    <t xml:space="preserve">TL-09, TL-10, TL-11, TL-12, TL-16</t>
  </si>
  <si>
    <t xml:space="preserve">IoT dashboards</t>
  </si>
  <si>
    <t xml:space="preserve">Free plan</t>
  </si>
  <si>
    <t xml:space="preserve">ESP32</t>
  </si>
  <si>
    <t xml:space="preserve">cloud.arduino.cc</t>
  </si>
  <si>
    <t xml:space="preserve">Live dashboards and phone control</t>
  </si>
  <si>
    <t xml:space="preserve">Free plan limits devices.</t>
  </si>
  <si>
    <t xml:space="preserve">TL-01, TL-04, TL-07, TL-13</t>
  </si>
  <si>
    <t xml:space="preserve">Online HTML editor</t>
  </si>
  <si>
    <t xml:space="preserve">HTML/CSS/JS editor (e.g. CodePen)</t>
  </si>
  <si>
    <t xml:space="preserve">codepen.io</t>
  </si>
  <si>
    <t xml:space="preserve">Webpages and portfolios</t>
  </si>
  <si>
    <t xml:space="preserve">JM-14, YI-14</t>
  </si>
  <si>
    <t xml:space="preserve">Beginner cybersecurity challenges</t>
  </si>
  <si>
    <t xml:space="preserve">13-17</t>
  </si>
  <si>
    <t xml:space="preserve">picoctf.org</t>
  </si>
  <si>
    <t xml:space="preserve">Ethical hacking practice</t>
  </si>
  <si>
    <t xml:space="preserve">Account required; 13+.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</si>
</sst>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;\-0;&quot;&quot;"/>
    <numFmt numFmtId="167" formatCode="0;\-0;\-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u val="single"/>
      <sz val="10"/>
      <color rgb="FF0563C1"/>
      <name val="Arial"/>
      <family val="0"/>
      <charset val="1"/>
    </font>
    <font>
      <i val="true"/>
      <sz val="10"/>
      <color rgb="FF7F60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4"/>
      <color rgb="FF2E9E5B"/>
      <name val="Arial"/>
      <family val="0"/>
      <charset val="1"/>
    </font>
    <font>
      <sz val="10"/>
      <color rgb="FFE6F6EC"/>
      <name val="Arial"/>
      <family val="0"/>
      <charset val="1"/>
    </font>
    <font>
      <sz val="10"/>
      <color rgb="FF262626"/>
      <name val="Arial"/>
      <family val="0"/>
      <charset val="1"/>
    </font>
    <font>
      <sz val="10"/>
      <color rgb="FF808080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b val="true"/>
      <sz val="14"/>
      <color rgb="FF1F6FD1"/>
      <name val="Arial"/>
      <family val="0"/>
      <charset val="1"/>
    </font>
    <font>
      <sz val="10"/>
      <color rgb="FFE5F0FC"/>
      <name val="Arial"/>
      <family val="0"/>
      <charset val="1"/>
    </font>
    <font>
      <b val="true"/>
      <sz val="14"/>
      <color rgb="FF7B3FC4"/>
      <name val="Arial"/>
      <family val="0"/>
      <charset val="1"/>
    </font>
    <font>
      <sz val="10"/>
      <color rgb="FFF1E9FB"/>
      <name val="Arial"/>
      <family val="0"/>
      <charset val="1"/>
    </font>
    <font>
      <b val="true"/>
      <sz val="14"/>
      <color rgb="FFD9434A"/>
      <name val="Arial"/>
      <family val="0"/>
      <charset val="1"/>
    </font>
    <font>
      <sz val="10"/>
      <color rgb="FFFCEAEA"/>
      <name val="Arial"/>
      <family val="0"/>
      <charset val="1"/>
    </font>
    <font>
      <sz val="10"/>
      <color rgb="FFC65911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404040"/>
        <bgColor rgb="FF1F3864"/>
      </patternFill>
    </fill>
    <fill>
      <patternFill patternType="solid">
        <fgColor rgb="FF2E9E5B"/>
        <bgColor rgb="FF008080"/>
      </patternFill>
    </fill>
    <fill>
      <patternFill patternType="solid">
        <fgColor rgb="FFE6F6EC"/>
        <bgColor rgb="FFE5F0FC"/>
      </patternFill>
    </fill>
    <fill>
      <patternFill patternType="solid">
        <fgColor rgb="FFFFF2CC"/>
        <bgColor rgb="FFFCEAEA"/>
      </patternFill>
    </fill>
    <fill>
      <patternFill patternType="solid">
        <fgColor rgb="FF1F6FD1"/>
        <bgColor rgb="FF0563C1"/>
      </patternFill>
    </fill>
    <fill>
      <patternFill patternType="solid">
        <fgColor rgb="FFE5F0FC"/>
        <bgColor rgb="FFE6F6EC"/>
      </patternFill>
    </fill>
    <fill>
      <patternFill patternType="solid">
        <fgColor rgb="FF7B3FC4"/>
        <bgColor rgb="FF333399"/>
      </patternFill>
    </fill>
    <fill>
      <patternFill patternType="solid">
        <fgColor rgb="FFF1E9FB"/>
        <bgColor rgb="FFFCEAEA"/>
      </patternFill>
    </fill>
    <fill>
      <patternFill patternType="solid">
        <fgColor rgb="FFD9434A"/>
        <bgColor rgb="FFC65911"/>
      </patternFill>
    </fill>
    <fill>
      <patternFill patternType="solid">
        <fgColor rgb="FFFCEAEA"/>
        <bgColor rgb="FFF1E9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1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8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1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1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2">
    <dxf>
      <fill>
        <patternFill patternType="solid">
          <fgColor rgb="FF1F6FD1"/>
          <bgColor rgb="FF000000"/>
        </patternFill>
      </fill>
    </dxf>
    <dxf>
      <fill>
        <patternFill patternType="solid">
          <fgColor rgb="FF2E9E5B"/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fgColor rgb="FF7B3FC4"/>
          <bgColor rgb="FF000000"/>
        </patternFill>
      </fill>
    </dxf>
    <dxf>
      <fill>
        <patternFill patternType="solid">
          <fgColor rgb="FFD9434A"/>
          <bgColor rgb="FF000000"/>
        </patternFill>
      </fill>
    </dxf>
    <dxf>
      <fill>
        <patternFill patternType="solid">
          <fgColor rgb="FFE5F0FC"/>
          <bgColor rgb="FF000000"/>
        </patternFill>
      </fill>
    </dxf>
    <dxf>
      <fill>
        <patternFill patternType="solid">
          <fgColor rgb="FFE6F6EC"/>
          <bgColor rgb="FF000000"/>
        </patternFill>
      </fill>
    </dxf>
    <dxf>
      <fill>
        <patternFill patternType="solid">
          <fgColor rgb="FFF1E9FB"/>
          <bgColor rgb="FF000000"/>
        </patternFill>
      </fill>
    </dxf>
    <dxf>
      <fill>
        <patternFill patternType="solid">
          <fgColor rgb="FFFCEAE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262626"/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C65911"/>
          <bgColor rgb="FF000000"/>
        </patternFill>
      </fill>
    </dxf>
    <dxf>
      <fill>
        <patternFill patternType="solid">
          <fgColor rgb="FFF4B084"/>
          <bgColor rgb="FF000000"/>
        </patternFill>
      </fill>
    </dxf>
    <dxf>
      <fill>
        <patternFill patternType="solid">
          <fgColor rgb="FFF7C19E"/>
          <bgColor rgb="FF000000"/>
        </patternFill>
      </fill>
    </dxf>
    <dxf>
      <fill>
        <patternFill patternType="solid">
          <fgColor rgb="FFF8C9AB"/>
          <bgColor rgb="FF000000"/>
        </patternFill>
      </fill>
    </dxf>
    <dxf>
      <fill>
        <patternFill patternType="solid">
          <fgColor rgb="FFF8CCAF"/>
          <bgColor rgb="FF000000"/>
        </patternFill>
      </fill>
    </dxf>
    <dxf>
      <fill>
        <patternFill patternType="solid">
          <fgColor rgb="FFF9D1B7"/>
          <bgColor rgb="FF000000"/>
        </patternFill>
      </fill>
    </dxf>
    <dxf>
      <fill>
        <patternFill patternType="solid">
          <fgColor rgb="FFFBE0CF"/>
          <bgColor rgb="FF000000"/>
        </patternFill>
      </fill>
    </dxf>
    <dxf>
      <fill>
        <patternFill patternType="solid">
          <fgColor rgb="FFFCE3D3"/>
          <bgColor rgb="FF000000"/>
        </patternFill>
      </fill>
    </dxf>
    <dxf>
      <fill>
        <patternFill patternType="solid">
          <fgColor rgb="FFFCE6D7"/>
          <bgColor rgb="FF000000"/>
        </patternFill>
      </fill>
    </dxf>
    <dxf>
      <fill>
        <patternFill patternType="solid">
          <fgColor rgb="FFFCE7D9"/>
          <bgColor rgb="FF000000"/>
        </patternFill>
      </fill>
    </dxf>
    <dxf>
      <fill>
        <patternFill patternType="solid">
          <fgColor rgb="FFFDEFE6"/>
          <bgColor rgb="FF000000"/>
        </patternFill>
      </fill>
    </dxf>
    <dxf>
      <fill>
        <patternFill patternType="solid">
          <fgColor rgb="FFFEF2EA"/>
          <bgColor rgb="FF000000"/>
        </patternFill>
      </fill>
    </dxf>
    <dxf>
      <fill>
        <patternFill patternType="solid">
          <fgColor rgb="FFFEF5EF"/>
          <bgColor rgb="FF000000"/>
        </patternFill>
      </fill>
    </dxf>
    <dxf>
      <fill>
        <patternFill patternType="solid">
          <fgColor rgb="FFFEF6F1"/>
          <bgColor rgb="FF000000"/>
        </patternFill>
      </fill>
    </dxf>
    <dxf>
      <fill>
        <patternFill patternType="solid">
          <fgColor rgb="FFFEF7F3"/>
          <bgColor rgb="FF000000"/>
        </patternFill>
      </fill>
    </dxf>
    <dxf>
      <fill>
        <patternFill patternType="solid">
          <fgColor rgb="FFFFF9F5"/>
          <bgColor rgb="FF000000"/>
        </patternFill>
      </fill>
    </dxf>
    <dxf>
      <fill>
        <patternFill patternType="solid">
          <fgColor rgb="FFFFFAF7"/>
          <bgColor rgb="FF000000"/>
        </patternFill>
      </fill>
    </dxf>
    <dxf>
      <fill>
        <patternFill patternType="solid">
          <fgColor rgb="FFFFFBF9"/>
          <bgColor rgb="FF000000"/>
        </patternFill>
      </fill>
    </dxf>
    <dxf>
      <fill>
        <patternFill patternType="solid">
          <fgColor rgb="FFFFFDFB"/>
          <bgColor rgb="FF000000"/>
        </patternFill>
      </fill>
    </dxf>
    <dxf>
      <fill>
        <patternFill patternType="solid">
          <fgColor rgb="FFFFFEFD"/>
          <bgColor rgb="FF000000"/>
        </patternFill>
      </fill>
    </dxf>
    <dxf>
      <font>
        <name val="Arial"/>
        <charset val="1"/>
        <family val="0"/>
        <b val="1"/>
        <color rgb="FF2E9E5B"/>
      </font>
      <fill>
        <patternFill>
          <bgColor rgb="FFE6F6EC"/>
        </patternFill>
      </fill>
    </dxf>
    <dxf>
      <font>
        <name val="Arial"/>
        <charset val="1"/>
        <family val="0"/>
        <b val="1"/>
        <color rgb="FF1F6FD1"/>
      </font>
      <fill>
        <patternFill>
          <bgColor rgb="FFE5F0FC"/>
        </patternFill>
      </fill>
    </dxf>
    <dxf>
      <font>
        <name val="Arial"/>
        <charset val="1"/>
        <family val="0"/>
        <b val="1"/>
        <color rgb="FF7B3FC4"/>
      </font>
      <fill>
        <patternFill>
          <bgColor rgb="FFF1E9FB"/>
        </patternFill>
      </fill>
    </dxf>
    <dxf>
      <font>
        <name val="Arial"/>
        <charset val="1"/>
        <family val="0"/>
        <b val="1"/>
        <color rgb="FFD9434A"/>
      </font>
      <fill>
        <patternFill>
          <bgColor rgb="FFFCEAE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38F"/>
      <rgbColor rgb="FFC0C0C0"/>
      <rgbColor rgb="FF808080"/>
      <rgbColor rgb="FF9999FF"/>
      <rgbColor rgb="FF7B3FC4"/>
      <rgbColor rgb="FFFFF2CC"/>
      <rgbColor rgb="FFE6F6EC"/>
      <rgbColor rgb="FF660066"/>
      <rgbColor rgb="FFFF8080"/>
      <rgbColor rgb="FF0563C1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F0FC"/>
      <rgbColor rgb="FFF1E9FB"/>
      <rgbColor rgb="FFFCEAEA"/>
      <rgbColor rgb="FF99CCFF"/>
      <rgbColor rgb="FFFF99CC"/>
      <rgbColor rgb="FFCC99FF"/>
      <rgbColor rgb="FFFFCC99"/>
      <rgbColor rgb="FF1F6FD1"/>
      <rgbColor rgb="FF33CCCC"/>
      <rgbColor rgb="FF99CC00"/>
      <rgbColor rgb="FFFFCC00"/>
      <rgbColor rgb="FFFF9900"/>
      <rgbColor rgb="FFC65911"/>
      <rgbColor rgb="FF595959"/>
      <rgbColor rgb="FF969696"/>
      <rgbColor rgb="FF1F3864"/>
      <rgbColor rgb="FF2E9E5B"/>
      <rgbColor rgb="FF003300"/>
      <rgbColor rgb="FF404040"/>
      <rgbColor rgb="FF993300"/>
      <rgbColor rgb="FFD9434A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Robotics_AI_Club_Hardware_and_16-Class_Plan.xlsx" TargetMode="External"/><Relationship Id="rId2" Type="http://schemas.openxmlformats.org/officeDocument/2006/relationships/hyperlink" Target="Robotics_AI_Club_Hardware_and_16-Class_Plan.xlsx" TargetMode="External"/><Relationship Id="rId3" Type="http://schemas.openxmlformats.org/officeDocument/2006/relationships/hyperlink" Target="Robotics_AI_Club_Hardware_and_16-Class_Plan.xlsx" TargetMode="External"/><Relationship Id="rId4" Type="http://schemas.openxmlformats.org/officeDocument/2006/relationships/hyperlink" Target="Robotics_AI_Club_Hardware_and_16-Class_Plan.xlsx" TargetMode="External"/><Relationship Id="rId5" Type="http://schemas.openxmlformats.org/officeDocument/2006/relationships/hyperlink" Target="Robotics_AI_Club_Hardware_and_16-Class_Plan.xlsx" TargetMode="External"/><Relationship Id="rId6" Type="http://schemas.openxmlformats.org/officeDocument/2006/relationships/hyperlink" Target="Robotics_AI_Club_Hardware_and_16-Class_Plan.xlsx" TargetMode="External"/><Relationship Id="rId7" Type="http://schemas.openxmlformats.org/officeDocument/2006/relationships/hyperlink" Target="Robotics_AI_Club_Hardware_and_16-Class_Plan.xlsx" TargetMode="External"/><Relationship Id="rId8" Type="http://schemas.openxmlformats.org/officeDocument/2006/relationships/hyperlink" Target="Robotics_AI_Club_Hardware_and_16-Class_Plan.xlsx" TargetMode="External"/><Relationship Id="rId9" Type="http://schemas.openxmlformats.org/officeDocument/2006/relationships/hyperlink" Target="Robotics_AI_Club_Hardware_and_16-Class_Plan.xlsx" TargetMode="External"/><Relationship Id="rId10" Type="http://schemas.openxmlformats.org/officeDocument/2006/relationships/hyperlink" Target="Robotics_AI_Club_Hardware_and_16-Class_Plan.xlsx" TargetMode="External"/><Relationship Id="rId11" Type="http://schemas.openxmlformats.org/officeDocument/2006/relationships/hyperlink" Target="Robotics_AI_Club_Hardware_and_16-Class_Plan.xlsx" TargetMode="External"/><Relationship Id="rId12" Type="http://schemas.openxmlformats.org/officeDocument/2006/relationships/hyperlink" Target="Robotics_AI_Club_Hardware_and_16-Class_Plan.xlsx" TargetMode="External"/><Relationship Id="rId13" Type="http://schemas.openxmlformats.org/officeDocument/2006/relationships/hyperlink" Target="Robotics_AI_Club_Hardware_and_16-Class_Plan.xlsx" TargetMode="External"/><Relationship Id="rId14" Type="http://schemas.openxmlformats.org/officeDocument/2006/relationships/hyperlink" Target="Robotics_AI_Club_Hardware_and_16-Class_Plan.xlsx" TargetMode="External"/><Relationship Id="rId15" Type="http://schemas.openxmlformats.org/officeDocument/2006/relationships/hyperlink" Target="Robotics_AI_Club_Hardware_and_16-Class_Plan.xlsx" TargetMode="External"/><Relationship Id="rId16" Type="http://schemas.openxmlformats.org/officeDocument/2006/relationships/hyperlink" Target="Robotics_AI_Club_Hardware_and_16-Class_Plan.xlsx" TargetMode="External"/><Relationship Id="rId17" Type="http://schemas.openxmlformats.org/officeDocument/2006/relationships/hyperlink" Target="Robotics_AI_Club_Hardware_and_16-Class_Plan.xlsx" TargetMode="External"/><Relationship Id="rId18" Type="http://schemas.openxmlformats.org/officeDocument/2006/relationships/hyperlink" Target="Robotics_AI_Club_Hardware_and_16-Class_Plan.xlsx" TargetMode="External"/><Relationship Id="rId19" Type="http://schemas.openxmlformats.org/officeDocument/2006/relationships/hyperlink" Target="Robotics_AI_Club_Hardware_and_16-Class_Plan.xlsx" TargetMode="External"/><Relationship Id="rId20" Type="http://schemas.openxmlformats.org/officeDocument/2006/relationships/hyperlink" Target="Robotics_AI_Club_Hardware_and_16-Class_Plan.xlsx" TargetMode="External"/><Relationship Id="rId21" Type="http://schemas.openxmlformats.org/officeDocument/2006/relationships/hyperlink" Target="Robotics_AI_Club_Hardware_and_16-Class_Plan.xlsx" TargetMode="External"/><Relationship Id="rId22" Type="http://schemas.openxmlformats.org/officeDocument/2006/relationships/hyperlink" Target="Robotics_AI_Club_Hardware_and_16-Class_Plan.xlsx" TargetMode="External"/><Relationship Id="rId23" Type="http://schemas.openxmlformats.org/officeDocument/2006/relationships/hyperlink" Target="Robotics_AI_Club_Hardware_and_16-Class_Plan.xlsx" TargetMode="External"/><Relationship Id="rId24" Type="http://schemas.openxmlformats.org/officeDocument/2006/relationships/hyperlink" Target="Robotics_AI_Club_Hardware_and_16-Class_Plan.xlsx" TargetMode="External"/><Relationship Id="rId25" Type="http://schemas.openxmlformats.org/officeDocument/2006/relationships/hyperlink" Target="Robotics_AI_Club_Hardware_and_16-Class_Plan.xlsx" TargetMode="External"/><Relationship Id="rId26" Type="http://schemas.openxmlformats.org/officeDocument/2006/relationships/hyperlink" Target="Robotics_AI_Club_Hardware_and_16-Class_Plan.xlsx" TargetMode="External"/><Relationship Id="rId27" Type="http://schemas.openxmlformats.org/officeDocument/2006/relationships/hyperlink" Target="Robotics_AI_Club_Hardware_and_16-Class_Plan.xlsx" TargetMode="External"/><Relationship Id="rId28" Type="http://schemas.openxmlformats.org/officeDocument/2006/relationships/hyperlink" Target="Robotics_AI_Club_Hardware_and_16-Class_Plan.xlsx" TargetMode="External"/><Relationship Id="rId29" Type="http://schemas.openxmlformats.org/officeDocument/2006/relationships/hyperlink" Target="Robotics_AI_Club_Hardware_and_16-Class_Plan.xlsx" TargetMode="External"/><Relationship Id="rId30" Type="http://schemas.openxmlformats.org/officeDocument/2006/relationships/hyperlink" Target="Robotics_AI_Club_Hardware_and_16-Class_Plan.xlsx" TargetMode="External"/><Relationship Id="rId31" Type="http://schemas.openxmlformats.org/officeDocument/2006/relationships/hyperlink" Target="Robotics_AI_Club_Hardware_and_16-Class_Plan.xlsx" TargetMode="External"/><Relationship Id="rId32" Type="http://schemas.openxmlformats.org/officeDocument/2006/relationships/hyperlink" Target="Robotics_AI_Club_Hardware_and_16-Class_Plan.xlsx" TargetMode="External"/><Relationship Id="rId33" Type="http://schemas.openxmlformats.org/officeDocument/2006/relationships/hyperlink" Target="Robotics_AI_Club_Hardware_and_16-Class_Plan.xlsx" TargetMode="External"/><Relationship Id="rId34" Type="http://schemas.openxmlformats.org/officeDocument/2006/relationships/hyperlink" Target="Robotics_AI_Club_Hardware_and_16-Class_Plan.xlsx" TargetMode="External"/><Relationship Id="rId35" Type="http://schemas.openxmlformats.org/officeDocument/2006/relationships/hyperlink" Target="Robotics_AI_Club_Hardware_and_16-Class_Plan.xlsx" TargetMode="External"/><Relationship Id="rId36" Type="http://schemas.openxmlformats.org/officeDocument/2006/relationships/hyperlink" Target="Robotics_AI_Club_Hardware_and_16-Class_Plan.xlsx" TargetMode="External"/><Relationship Id="rId37" Type="http://schemas.openxmlformats.org/officeDocument/2006/relationships/hyperlink" Target="Robotics_AI_Club_Hardware_and_16-Class_Plan.xlsx" TargetMode="External"/><Relationship Id="rId38" Type="http://schemas.openxmlformats.org/officeDocument/2006/relationships/hyperlink" Target="Robotics_AI_Club_Hardware_and_16-Class_Plan.xlsx" TargetMode="External"/><Relationship Id="rId39" Type="http://schemas.openxmlformats.org/officeDocument/2006/relationships/hyperlink" Target="Robotics_AI_Club_Hardware_and_16-Class_Plan.xlsx" TargetMode="External"/><Relationship Id="rId40" Type="http://schemas.openxmlformats.org/officeDocument/2006/relationships/hyperlink" Target="Robotics_AI_Club_Hardware_and_16-Class_Plan.xlsx" TargetMode="External"/><Relationship Id="rId41" Type="http://schemas.openxmlformats.org/officeDocument/2006/relationships/hyperlink" Target="Robotics_AI_Club_Hardware_and_16-Class_Plan.xlsx" TargetMode="External"/><Relationship Id="rId42" Type="http://schemas.openxmlformats.org/officeDocument/2006/relationships/hyperlink" Target="Robotics_AI_Club_Hardware_and_16-Class_Plan.xlsx" TargetMode="External"/><Relationship Id="rId43" Type="http://schemas.openxmlformats.org/officeDocument/2006/relationships/hyperlink" Target="Robotics_AI_Club_Hardware_and_16-Class_Plan.xlsx" TargetMode="External"/><Relationship Id="rId44" Type="http://schemas.openxmlformats.org/officeDocument/2006/relationships/hyperlink" Target="Robotics_AI_Club_Hardware_and_16-Class_Plan.xlsx" TargetMode="External"/><Relationship Id="rId45" Type="http://schemas.openxmlformats.org/officeDocument/2006/relationships/hyperlink" Target="Robotics_AI_Club_Hardware_and_16-Class_Plan.xlsx" TargetMode="External"/><Relationship Id="rId46" Type="http://schemas.openxmlformats.org/officeDocument/2006/relationships/hyperlink" Target="Robotics_AI_Club_Hardware_and_16-Class_Plan.xlsx" TargetMode="External"/><Relationship Id="rId47" Type="http://schemas.openxmlformats.org/officeDocument/2006/relationships/hyperlink" Target="Robotics_AI_Club_Hardware_and_16-Class_Plan.xlsx" TargetMode="External"/><Relationship Id="rId48" Type="http://schemas.openxmlformats.org/officeDocument/2006/relationships/hyperlink" Target="Robotics_AI_Club_Hardware_and_16-Class_Plan.xlsx" TargetMode="External"/><Relationship Id="rId49" Type="http://schemas.openxmlformats.org/officeDocument/2006/relationships/hyperlink" Target="Robotics_AI_Club_Hardware_and_16-Class_Plan.xlsx" TargetMode="External"/><Relationship Id="rId50" Type="http://schemas.openxmlformats.org/officeDocument/2006/relationships/hyperlink" Target="Robotics_AI_Club_Hardware_and_16-Class_Plan.xlsx" TargetMode="External"/><Relationship Id="rId51" Type="http://schemas.openxmlformats.org/officeDocument/2006/relationships/hyperlink" Target="Robotics_AI_Club_Hardware_and_16-Class_Plan.xlsx" TargetMode="External"/><Relationship Id="rId52" Type="http://schemas.openxmlformats.org/officeDocument/2006/relationships/hyperlink" Target="Robotics_AI_Club_Hardware_and_16-Class_Plan.xlsx" TargetMode="External"/><Relationship Id="rId53" Type="http://schemas.openxmlformats.org/officeDocument/2006/relationships/hyperlink" Target="Robotics_AI_Club_Hardware_and_16-Class_Plan.xlsx" TargetMode="External"/><Relationship Id="rId54" Type="http://schemas.openxmlformats.org/officeDocument/2006/relationships/hyperlink" Target="Robotics_AI_Club_Hardware_and_16-Class_Plan.xlsx" TargetMode="External"/><Relationship Id="rId55" Type="http://schemas.openxmlformats.org/officeDocument/2006/relationships/hyperlink" Target="Robotics_AI_Club_Hardware_and_16-Class_Plan.xlsx" TargetMode="External"/><Relationship Id="rId56" Type="http://schemas.openxmlformats.org/officeDocument/2006/relationships/hyperlink" Target="Robotics_AI_Club_Hardware_and_16-Class_Plan.xlsx" TargetMode="External"/><Relationship Id="rId57" Type="http://schemas.openxmlformats.org/officeDocument/2006/relationships/hyperlink" Target="Robotics_AI_Club_Hardware_and_16-Class_Plan.xlsx" TargetMode="External"/><Relationship Id="rId58" Type="http://schemas.openxmlformats.org/officeDocument/2006/relationships/hyperlink" Target="Robotics_AI_Club_Hardware_and_16-Class_Plan.xlsx" TargetMode="External"/><Relationship Id="rId59" Type="http://schemas.openxmlformats.org/officeDocument/2006/relationships/hyperlink" Target="Robotics_AI_Club_Hardware_and_16-Class_Plan.xlsx" TargetMode="External"/><Relationship Id="rId60" Type="http://schemas.openxmlformats.org/officeDocument/2006/relationships/hyperlink" Target="Robotics_AI_Club_Hardware_and_16-Class_Plan.xlsx" TargetMode="External"/><Relationship Id="rId61" Type="http://schemas.openxmlformats.org/officeDocument/2006/relationships/hyperlink" Target="Robotics_AI_Club_Hardware_and_16-Class_Plan.xlsx" TargetMode="External"/><Relationship Id="rId62" Type="http://schemas.openxmlformats.org/officeDocument/2006/relationships/hyperlink" Target="Robotics_AI_Club_Hardware_and_16-Class_Plan.xlsx" TargetMode="External"/><Relationship Id="rId63" Type="http://schemas.openxmlformats.org/officeDocument/2006/relationships/hyperlink" Target="Robotics_AI_Club_Hardware_and_16-Class_Plan.xlsx" TargetMode="External"/><Relationship Id="rId64" Type="http://schemas.openxmlformats.org/officeDocument/2006/relationships/hyperlink" Target="Robotics_AI_Club_Hardware_and_16-Class_Plan.xlsx" TargetMode="External"/><Relationship Id="rId65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2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0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/>
    </row>
    <row r="6" customFormat="false" ht="23.85" hidden="false" customHeight="false" outlineLevel="0" collapsed="false">
      <c r="B6" s="5" t="s">
        <v>3</v>
      </c>
      <c r="C6" s="6" t="s">
        <v>4</v>
      </c>
    </row>
    <row r="7" customFormat="false" ht="15" hidden="false" customHeight="false" outlineLevel="0" collapsed="false">
      <c r="B7" s="5" t="s">
        <v>5</v>
      </c>
      <c r="C7" s="6" t="s">
        <v>6</v>
      </c>
    </row>
    <row r="8" customFormat="false" ht="15" hidden="false" customHeight="false" outlineLevel="0" collapsed="false">
      <c r="B8" s="5" t="s">
        <v>7</v>
      </c>
      <c r="C8" s="6" t="s">
        <v>8</v>
      </c>
    </row>
    <row r="9" customFormat="false" ht="15" hidden="false" customHeight="false" outlineLevel="0" collapsed="false">
      <c r="B9" s="5" t="s">
        <v>9</v>
      </c>
      <c r="C9" s="6" t="s">
        <v>10</v>
      </c>
    </row>
    <row r="10" customFormat="false" ht="15" hidden="false" customHeight="false" outlineLevel="0" collapsed="false">
      <c r="B10" s="5" t="s">
        <v>11</v>
      </c>
      <c r="C10" s="6" t="s">
        <v>12</v>
      </c>
    </row>
    <row r="11" customFormat="false" ht="15" hidden="false" customHeight="false" outlineLevel="0" collapsed="false">
      <c r="B11" s="5" t="s">
        <v>13</v>
      </c>
      <c r="C11" s="6" t="s">
        <v>14</v>
      </c>
    </row>
    <row r="12" customFormat="false" ht="15" hidden="false" customHeight="false" outlineLevel="0" collapsed="false">
      <c r="B12" s="5" t="s">
        <v>15</v>
      </c>
      <c r="C12" s="6" t="s">
        <v>16</v>
      </c>
    </row>
    <row r="14" customFormat="false" ht="15" hidden="false" customHeight="false" outlineLevel="0" collapsed="false">
      <c r="B14" s="3" t="s">
        <v>17</v>
      </c>
      <c r="C14" s="4"/>
    </row>
    <row r="15" customFormat="false" ht="15" hidden="false" customHeight="false" outlineLevel="0" collapsed="false">
      <c r="B15" s="5" t="s">
        <v>18</v>
      </c>
      <c r="C15" s="6" t="s">
        <v>19</v>
      </c>
    </row>
    <row r="16" customFormat="false" ht="15" hidden="false" customHeight="false" outlineLevel="0" collapsed="false">
      <c r="B16" s="5" t="s">
        <v>20</v>
      </c>
      <c r="C16" s="6" t="s">
        <v>21</v>
      </c>
    </row>
    <row r="17" customFormat="false" ht="23.85" hidden="false" customHeight="false" outlineLevel="0" collapsed="false">
      <c r="B17" s="5" t="s">
        <v>22</v>
      </c>
      <c r="C17" s="6" t="s">
        <v>23</v>
      </c>
    </row>
    <row r="18" customFormat="false" ht="23.85" hidden="false" customHeight="false" outlineLevel="0" collapsed="false">
      <c r="B18" s="5" t="s">
        <v>24</v>
      </c>
      <c r="C18" s="6" t="s">
        <v>25</v>
      </c>
    </row>
    <row r="19" customFormat="false" ht="23.85" hidden="false" customHeight="false" outlineLevel="0" collapsed="false">
      <c r="B19" s="5" t="s">
        <v>26</v>
      </c>
      <c r="C19" s="6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434A"/>
    <pageSetUpPr fitToPage="true"/>
  </sheetPr>
  <dimension ref="A1:K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40"/>
    <col collapsed="false" customWidth="true" hidden="false" outlineLevel="0" max="6" min="6" style="0" width="24"/>
    <col collapsed="false" customWidth="true" hidden="false" outlineLevel="0" max="7" min="7" style="0" width="22"/>
    <col collapsed="false" customWidth="true" hidden="false" outlineLevel="0" max="8" min="8" style="0" width="14"/>
    <col collapsed="false" customWidth="true" hidden="false" outlineLevel="0" max="9" min="9" style="0" width="30"/>
    <col collapsed="false" customWidth="true" hidden="false" outlineLevel="0" max="10" min="10" style="0" width="26"/>
    <col collapsed="false" customWidth="true" hidden="false" outlineLevel="0" max="11" min="11" style="0" width="60"/>
  </cols>
  <sheetData>
    <row r="1" customFormat="false" ht="17.35" hidden="false" customHeight="false" outlineLevel="0" collapsed="false">
      <c r="A1" s="7" t="s">
        <v>28</v>
      </c>
    </row>
    <row r="2" customFormat="false" ht="15" hidden="false" customHeight="false" outlineLevel="0" collapsed="false">
      <c r="A2" s="2" t="s">
        <v>29</v>
      </c>
    </row>
    <row r="4" customFormat="false" ht="46.25" hidden="false" customHeight="false" outlineLevel="0" collapsed="false">
      <c r="A4" s="8" t="s">
        <v>30</v>
      </c>
      <c r="B4" s="8" t="s">
        <v>31</v>
      </c>
      <c r="C4" s="8" t="s">
        <v>32</v>
      </c>
      <c r="D4" s="8" t="s">
        <v>33</v>
      </c>
      <c r="E4" s="8" t="s">
        <v>34</v>
      </c>
      <c r="F4" s="8" t="s">
        <v>35</v>
      </c>
      <c r="G4" s="8" t="s">
        <v>36</v>
      </c>
      <c r="H4" s="8" t="s">
        <v>37</v>
      </c>
      <c r="I4" s="8" t="s">
        <v>38</v>
      </c>
      <c r="J4" s="8" t="s">
        <v>39</v>
      </c>
      <c r="K4" s="8" t="s">
        <v>40</v>
      </c>
    </row>
    <row r="5" customFormat="false" ht="15" hidden="false" customHeight="false" outlineLevel="0" collapsed="false">
      <c r="A5" s="9" t="s">
        <v>41</v>
      </c>
      <c r="B5" s="9"/>
      <c r="C5" s="9"/>
      <c r="D5" s="9"/>
      <c r="E5" s="9"/>
      <c r="F5" s="9"/>
      <c r="G5" s="9"/>
      <c r="H5" s="9"/>
      <c r="I5" s="9"/>
      <c r="J5" s="9"/>
      <c r="K5" s="9"/>
    </row>
    <row r="6" customFormat="false" ht="23.85" hidden="false" customHeight="false" outlineLevel="0" collapsed="false">
      <c r="A6" s="10" t="s">
        <v>42</v>
      </c>
      <c r="B6" s="10" t="s">
        <v>43</v>
      </c>
      <c r="C6" s="11" t="s">
        <v>44</v>
      </c>
      <c r="D6" s="12" t="s">
        <v>45</v>
      </c>
      <c r="E6" s="13" t="s">
        <v>46</v>
      </c>
      <c r="F6" s="10" t="s">
        <v>47</v>
      </c>
      <c r="G6" s="10" t="s">
        <v>48</v>
      </c>
      <c r="H6" s="11" t="s">
        <v>49</v>
      </c>
      <c r="I6" s="10" t="s">
        <v>50</v>
      </c>
      <c r="J6" s="10" t="s">
        <v>51</v>
      </c>
      <c r="K6" s="10" t="s">
        <v>52</v>
      </c>
    </row>
    <row r="7" customFormat="false" ht="23.85" hidden="false" customHeight="false" outlineLevel="0" collapsed="false">
      <c r="A7" s="10" t="s">
        <v>42</v>
      </c>
      <c r="B7" s="10" t="s">
        <v>43</v>
      </c>
      <c r="C7" s="11" t="s">
        <v>53</v>
      </c>
      <c r="D7" s="12" t="s">
        <v>54</v>
      </c>
      <c r="E7" s="13" t="s">
        <v>55</v>
      </c>
      <c r="F7" s="10" t="s">
        <v>47</v>
      </c>
      <c r="G7" s="10" t="s">
        <v>48</v>
      </c>
      <c r="H7" s="11" t="s">
        <v>49</v>
      </c>
      <c r="I7" s="10" t="s">
        <v>56</v>
      </c>
      <c r="J7" s="10" t="s">
        <v>57</v>
      </c>
      <c r="K7" s="10" t="s">
        <v>58</v>
      </c>
    </row>
    <row r="8" customFormat="false" ht="23.85" hidden="false" customHeight="false" outlineLevel="0" collapsed="false">
      <c r="A8" s="10" t="s">
        <v>42</v>
      </c>
      <c r="B8" s="10" t="s">
        <v>43</v>
      </c>
      <c r="C8" s="11" t="s">
        <v>59</v>
      </c>
      <c r="D8" s="12" t="s">
        <v>60</v>
      </c>
      <c r="E8" s="13" t="s">
        <v>61</v>
      </c>
      <c r="F8" s="10" t="s">
        <v>62</v>
      </c>
      <c r="G8" s="10" t="s">
        <v>48</v>
      </c>
      <c r="H8" s="11" t="s">
        <v>49</v>
      </c>
      <c r="I8" s="10" t="s">
        <v>50</v>
      </c>
      <c r="J8" s="10" t="s">
        <v>63</v>
      </c>
      <c r="K8" s="10" t="s">
        <v>64</v>
      </c>
    </row>
    <row r="9" customFormat="false" ht="23.85" hidden="false" customHeight="false" outlineLevel="0" collapsed="false">
      <c r="A9" s="10" t="s">
        <v>42</v>
      </c>
      <c r="B9" s="10" t="s">
        <v>43</v>
      </c>
      <c r="C9" s="11" t="s">
        <v>65</v>
      </c>
      <c r="D9" s="12" t="s">
        <v>66</v>
      </c>
      <c r="E9" s="13" t="s">
        <v>67</v>
      </c>
      <c r="F9" s="10" t="s">
        <v>68</v>
      </c>
      <c r="G9" s="10" t="s">
        <v>48</v>
      </c>
      <c r="H9" s="11" t="s">
        <v>49</v>
      </c>
      <c r="I9" s="10" t="s">
        <v>56</v>
      </c>
      <c r="J9" s="10" t="s">
        <v>69</v>
      </c>
      <c r="K9" s="10" t="s">
        <v>70</v>
      </c>
    </row>
    <row r="10" customFormat="false" ht="23.85" hidden="false" customHeight="false" outlineLevel="0" collapsed="false">
      <c r="A10" s="14" t="s">
        <v>42</v>
      </c>
      <c r="B10" s="14" t="s">
        <v>71</v>
      </c>
      <c r="C10" s="15" t="s">
        <v>72</v>
      </c>
      <c r="D10" s="16" t="s">
        <v>73</v>
      </c>
      <c r="E10" s="17" t="s">
        <v>74</v>
      </c>
      <c r="F10" s="14" t="s">
        <v>75</v>
      </c>
      <c r="G10" s="14" t="s">
        <v>48</v>
      </c>
      <c r="H10" s="15" t="s">
        <v>49</v>
      </c>
      <c r="I10" s="14" t="s">
        <v>56</v>
      </c>
      <c r="J10" s="14" t="s">
        <v>76</v>
      </c>
      <c r="K10" s="14" t="s">
        <v>77</v>
      </c>
    </row>
    <row r="11" customFormat="false" ht="23.85" hidden="false" customHeight="false" outlineLevel="0" collapsed="false">
      <c r="A11" s="14" t="s">
        <v>42</v>
      </c>
      <c r="B11" s="14" t="s">
        <v>71</v>
      </c>
      <c r="C11" s="15" t="s">
        <v>78</v>
      </c>
      <c r="D11" s="16" t="s">
        <v>79</v>
      </c>
      <c r="E11" s="17" t="s">
        <v>80</v>
      </c>
      <c r="F11" s="14" t="s">
        <v>75</v>
      </c>
      <c r="G11" s="14" t="s">
        <v>48</v>
      </c>
      <c r="H11" s="15" t="s">
        <v>49</v>
      </c>
      <c r="I11" s="14" t="s">
        <v>56</v>
      </c>
      <c r="J11" s="14" t="s">
        <v>81</v>
      </c>
      <c r="K11" s="14" t="s">
        <v>82</v>
      </c>
    </row>
    <row r="12" customFormat="false" ht="23.85" hidden="false" customHeight="false" outlineLevel="0" collapsed="false">
      <c r="A12" s="14" t="s">
        <v>42</v>
      </c>
      <c r="B12" s="14" t="s">
        <v>71</v>
      </c>
      <c r="C12" s="15" t="s">
        <v>83</v>
      </c>
      <c r="D12" s="16" t="s">
        <v>84</v>
      </c>
      <c r="E12" s="17" t="s">
        <v>85</v>
      </c>
      <c r="F12" s="14" t="s">
        <v>75</v>
      </c>
      <c r="G12" s="14" t="s">
        <v>48</v>
      </c>
      <c r="H12" s="15" t="s">
        <v>49</v>
      </c>
      <c r="I12" s="14" t="s">
        <v>56</v>
      </c>
      <c r="J12" s="14" t="s">
        <v>86</v>
      </c>
      <c r="K12" s="14" t="s">
        <v>87</v>
      </c>
    </row>
    <row r="13" customFormat="false" ht="23.85" hidden="false" customHeight="false" outlineLevel="0" collapsed="false">
      <c r="A13" s="14" t="s">
        <v>42</v>
      </c>
      <c r="B13" s="14" t="s">
        <v>71</v>
      </c>
      <c r="C13" s="15" t="s">
        <v>88</v>
      </c>
      <c r="D13" s="16" t="s">
        <v>89</v>
      </c>
      <c r="E13" s="17" t="s">
        <v>90</v>
      </c>
      <c r="F13" s="14" t="s">
        <v>91</v>
      </c>
      <c r="G13" s="14" t="s">
        <v>48</v>
      </c>
      <c r="H13" s="15" t="s">
        <v>49</v>
      </c>
      <c r="I13" s="14" t="s">
        <v>56</v>
      </c>
      <c r="J13" s="14" t="s">
        <v>92</v>
      </c>
      <c r="K13" s="14" t="s">
        <v>93</v>
      </c>
    </row>
    <row r="14" customFormat="false" ht="23.85" hidden="false" customHeight="false" outlineLevel="0" collapsed="false">
      <c r="A14" s="10" t="s">
        <v>42</v>
      </c>
      <c r="B14" s="10" t="s">
        <v>94</v>
      </c>
      <c r="C14" s="11" t="s">
        <v>95</v>
      </c>
      <c r="D14" s="12" t="s">
        <v>96</v>
      </c>
      <c r="E14" s="13" t="s">
        <v>97</v>
      </c>
      <c r="F14" s="10" t="s">
        <v>98</v>
      </c>
      <c r="G14" s="10" t="s">
        <v>48</v>
      </c>
      <c r="H14" s="11" t="s">
        <v>49</v>
      </c>
      <c r="I14" s="10" t="s">
        <v>56</v>
      </c>
      <c r="J14" s="10" t="s">
        <v>99</v>
      </c>
      <c r="K14" s="10" t="s">
        <v>100</v>
      </c>
    </row>
    <row r="15" customFormat="false" ht="23.85" hidden="false" customHeight="false" outlineLevel="0" collapsed="false">
      <c r="A15" s="10" t="s">
        <v>42</v>
      </c>
      <c r="B15" s="10" t="s">
        <v>94</v>
      </c>
      <c r="C15" s="11" t="s">
        <v>101</v>
      </c>
      <c r="D15" s="12" t="s">
        <v>102</v>
      </c>
      <c r="E15" s="13" t="s">
        <v>103</v>
      </c>
      <c r="F15" s="10" t="s">
        <v>98</v>
      </c>
      <c r="G15" s="10" t="s">
        <v>48</v>
      </c>
      <c r="H15" s="11" t="s">
        <v>49</v>
      </c>
      <c r="I15" s="10" t="s">
        <v>56</v>
      </c>
      <c r="J15" s="10" t="s">
        <v>104</v>
      </c>
      <c r="K15" s="10" t="s">
        <v>105</v>
      </c>
    </row>
    <row r="16" customFormat="false" ht="23.85" hidden="false" customHeight="false" outlineLevel="0" collapsed="false">
      <c r="A16" s="10" t="s">
        <v>42</v>
      </c>
      <c r="B16" s="10" t="s">
        <v>94</v>
      </c>
      <c r="C16" s="11" t="s">
        <v>106</v>
      </c>
      <c r="D16" s="12" t="s">
        <v>107</v>
      </c>
      <c r="E16" s="13" t="s">
        <v>108</v>
      </c>
      <c r="F16" s="10" t="s">
        <v>109</v>
      </c>
      <c r="G16" s="10" t="s">
        <v>48</v>
      </c>
      <c r="H16" s="11" t="s">
        <v>49</v>
      </c>
      <c r="I16" s="10" t="s">
        <v>50</v>
      </c>
      <c r="J16" s="10" t="s">
        <v>99</v>
      </c>
      <c r="K16" s="10" t="s">
        <v>110</v>
      </c>
    </row>
    <row r="17" customFormat="false" ht="23.85" hidden="false" customHeight="false" outlineLevel="0" collapsed="false">
      <c r="A17" s="10" t="s">
        <v>42</v>
      </c>
      <c r="B17" s="10" t="s">
        <v>94</v>
      </c>
      <c r="C17" s="11" t="s">
        <v>111</v>
      </c>
      <c r="D17" s="12" t="s">
        <v>112</v>
      </c>
      <c r="E17" s="13" t="s">
        <v>113</v>
      </c>
      <c r="F17" s="10" t="s">
        <v>114</v>
      </c>
      <c r="G17" s="10" t="s">
        <v>48</v>
      </c>
      <c r="H17" s="11" t="s">
        <v>49</v>
      </c>
      <c r="I17" s="10" t="s">
        <v>56</v>
      </c>
      <c r="J17" s="10" t="s">
        <v>115</v>
      </c>
      <c r="K17" s="10" t="s">
        <v>116</v>
      </c>
    </row>
    <row r="18" customFormat="false" ht="23.85" hidden="false" customHeight="false" outlineLevel="0" collapsed="false">
      <c r="A18" s="14" t="s">
        <v>42</v>
      </c>
      <c r="B18" s="14" t="s">
        <v>117</v>
      </c>
      <c r="C18" s="15" t="s">
        <v>118</v>
      </c>
      <c r="D18" s="16" t="s">
        <v>119</v>
      </c>
      <c r="E18" s="17" t="s">
        <v>120</v>
      </c>
      <c r="F18" s="14" t="s">
        <v>68</v>
      </c>
      <c r="G18" s="14" t="s">
        <v>48</v>
      </c>
      <c r="H18" s="15" t="s">
        <v>121</v>
      </c>
      <c r="I18" s="14" t="s">
        <v>122</v>
      </c>
      <c r="J18" s="14" t="s">
        <v>123</v>
      </c>
      <c r="K18" s="14" t="s">
        <v>124</v>
      </c>
    </row>
    <row r="19" customFormat="false" ht="23.85" hidden="false" customHeight="false" outlineLevel="0" collapsed="false">
      <c r="A19" s="14" t="s">
        <v>42</v>
      </c>
      <c r="B19" s="14" t="s">
        <v>117</v>
      </c>
      <c r="C19" s="15" t="s">
        <v>125</v>
      </c>
      <c r="D19" s="16" t="s">
        <v>126</v>
      </c>
      <c r="E19" s="17" t="s">
        <v>127</v>
      </c>
      <c r="F19" s="14" t="s">
        <v>128</v>
      </c>
      <c r="G19" s="14" t="s">
        <v>48</v>
      </c>
      <c r="H19" s="15" t="s">
        <v>129</v>
      </c>
      <c r="I19" s="14" t="s">
        <v>130</v>
      </c>
      <c r="J19" s="14" t="s">
        <v>131</v>
      </c>
      <c r="K19" s="14" t="s">
        <v>132</v>
      </c>
    </row>
    <row r="20" customFormat="false" ht="23.85" hidden="false" customHeight="false" outlineLevel="0" collapsed="false">
      <c r="A20" s="14" t="s">
        <v>42</v>
      </c>
      <c r="B20" s="14" t="s">
        <v>117</v>
      </c>
      <c r="C20" s="15" t="s">
        <v>133</v>
      </c>
      <c r="D20" s="16" t="s">
        <v>134</v>
      </c>
      <c r="E20" s="17" t="s">
        <v>135</v>
      </c>
      <c r="F20" s="14" t="s">
        <v>128</v>
      </c>
      <c r="G20" s="14" t="s">
        <v>68</v>
      </c>
      <c r="H20" s="15" t="s">
        <v>121</v>
      </c>
      <c r="I20" s="14" t="s">
        <v>136</v>
      </c>
      <c r="J20" s="14" t="s">
        <v>131</v>
      </c>
      <c r="K20" s="14" t="s">
        <v>137</v>
      </c>
    </row>
    <row r="21" customFormat="false" ht="23.85" hidden="false" customHeight="false" outlineLevel="0" collapsed="false">
      <c r="A21" s="14" t="s">
        <v>42</v>
      </c>
      <c r="B21" s="14" t="s">
        <v>117</v>
      </c>
      <c r="C21" s="15" t="s">
        <v>138</v>
      </c>
      <c r="D21" s="16" t="s">
        <v>139</v>
      </c>
      <c r="E21" s="17" t="s">
        <v>140</v>
      </c>
      <c r="F21" s="14" t="s">
        <v>141</v>
      </c>
      <c r="G21" s="14" t="s">
        <v>48</v>
      </c>
      <c r="H21" s="15" t="s">
        <v>142</v>
      </c>
      <c r="I21" s="14" t="s">
        <v>143</v>
      </c>
      <c r="J21" s="14" t="s">
        <v>123</v>
      </c>
      <c r="K21" s="14" t="s">
        <v>144</v>
      </c>
    </row>
    <row r="22" customFormat="false" ht="35.05" hidden="false" customHeight="false" outlineLevel="0" collapsed="false">
      <c r="A22" s="18" t="s">
        <v>42</v>
      </c>
      <c r="B22" s="18" t="s">
        <v>145</v>
      </c>
      <c r="C22" s="18" t="s">
        <v>146</v>
      </c>
      <c r="D22" s="18" t="s">
        <v>48</v>
      </c>
      <c r="E22" s="18" t="s">
        <v>147</v>
      </c>
      <c r="F22" s="18" t="s">
        <v>148</v>
      </c>
      <c r="G22" s="18" t="s">
        <v>48</v>
      </c>
      <c r="H22" s="18" t="s">
        <v>121</v>
      </c>
      <c r="I22" s="18" t="s">
        <v>149</v>
      </c>
      <c r="J22" s="18" t="s">
        <v>48</v>
      </c>
      <c r="K22" s="18" t="s">
        <v>150</v>
      </c>
    </row>
    <row r="23" customFormat="false" ht="35.05" hidden="false" customHeight="false" outlineLevel="0" collapsed="false">
      <c r="A23" s="18" t="s">
        <v>42</v>
      </c>
      <c r="B23" s="18" t="s">
        <v>145</v>
      </c>
      <c r="C23" s="18" t="s">
        <v>151</v>
      </c>
      <c r="D23" s="18" t="s">
        <v>48</v>
      </c>
      <c r="E23" s="18" t="s">
        <v>147</v>
      </c>
      <c r="F23" s="18" t="s">
        <v>148</v>
      </c>
      <c r="G23" s="18" t="s">
        <v>48</v>
      </c>
      <c r="H23" s="18" t="s">
        <v>121</v>
      </c>
      <c r="I23" s="18" t="s">
        <v>149</v>
      </c>
      <c r="J23" s="18" t="s">
        <v>48</v>
      </c>
      <c r="K23" s="18" t="s">
        <v>150</v>
      </c>
    </row>
    <row r="25" customFormat="false" ht="15" hidden="false" customHeight="false" outlineLevel="0" collapsed="false">
      <c r="A25" s="19" t="s">
        <v>152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</row>
    <row r="26" customFormat="false" ht="23.85" hidden="false" customHeight="false" outlineLevel="0" collapsed="false">
      <c r="A26" s="20" t="s">
        <v>153</v>
      </c>
      <c r="B26" s="20" t="s">
        <v>154</v>
      </c>
      <c r="C26" s="21" t="s">
        <v>44</v>
      </c>
      <c r="D26" s="22" t="s">
        <v>155</v>
      </c>
      <c r="E26" s="23" t="s">
        <v>156</v>
      </c>
      <c r="F26" s="20" t="s">
        <v>47</v>
      </c>
      <c r="G26" s="20" t="s">
        <v>48</v>
      </c>
      <c r="H26" s="21" t="s">
        <v>121</v>
      </c>
      <c r="I26" s="20" t="s">
        <v>157</v>
      </c>
      <c r="J26" s="20" t="s">
        <v>51</v>
      </c>
      <c r="K26" s="20" t="s">
        <v>158</v>
      </c>
    </row>
    <row r="27" customFormat="false" ht="23.85" hidden="false" customHeight="false" outlineLevel="0" collapsed="false">
      <c r="A27" s="20" t="s">
        <v>153</v>
      </c>
      <c r="B27" s="20" t="s">
        <v>154</v>
      </c>
      <c r="C27" s="21" t="s">
        <v>53</v>
      </c>
      <c r="D27" s="22" t="s">
        <v>159</v>
      </c>
      <c r="E27" s="23" t="s">
        <v>160</v>
      </c>
      <c r="F27" s="20" t="s">
        <v>68</v>
      </c>
      <c r="G27" s="20" t="s">
        <v>48</v>
      </c>
      <c r="H27" s="21" t="s">
        <v>49</v>
      </c>
      <c r="I27" s="20" t="s">
        <v>161</v>
      </c>
      <c r="J27" s="20" t="s">
        <v>162</v>
      </c>
      <c r="K27" s="20" t="s">
        <v>163</v>
      </c>
    </row>
    <row r="28" customFormat="false" ht="23.85" hidden="false" customHeight="false" outlineLevel="0" collapsed="false">
      <c r="A28" s="20" t="s">
        <v>153</v>
      </c>
      <c r="B28" s="20" t="s">
        <v>154</v>
      </c>
      <c r="C28" s="21" t="s">
        <v>59</v>
      </c>
      <c r="D28" s="22" t="s">
        <v>164</v>
      </c>
      <c r="E28" s="23" t="s">
        <v>165</v>
      </c>
      <c r="F28" s="20" t="s">
        <v>75</v>
      </c>
      <c r="G28" s="20" t="s">
        <v>48</v>
      </c>
      <c r="H28" s="21" t="s">
        <v>49</v>
      </c>
      <c r="I28" s="20" t="s">
        <v>161</v>
      </c>
      <c r="J28" s="20" t="s">
        <v>166</v>
      </c>
      <c r="K28" s="20" t="s">
        <v>167</v>
      </c>
    </row>
    <row r="29" customFormat="false" ht="23.85" hidden="false" customHeight="false" outlineLevel="0" collapsed="false">
      <c r="A29" s="20" t="s">
        <v>153</v>
      </c>
      <c r="B29" s="20" t="s">
        <v>154</v>
      </c>
      <c r="C29" s="21" t="s">
        <v>65</v>
      </c>
      <c r="D29" s="22" t="s">
        <v>168</v>
      </c>
      <c r="E29" s="23" t="s">
        <v>169</v>
      </c>
      <c r="F29" s="20" t="s">
        <v>98</v>
      </c>
      <c r="G29" s="20" t="s">
        <v>48</v>
      </c>
      <c r="H29" s="21" t="s">
        <v>49</v>
      </c>
      <c r="I29" s="20" t="s">
        <v>161</v>
      </c>
      <c r="J29" s="20" t="s">
        <v>170</v>
      </c>
      <c r="K29" s="20" t="s">
        <v>171</v>
      </c>
    </row>
    <row r="30" customFormat="false" ht="23.85" hidden="false" customHeight="false" outlineLevel="0" collapsed="false">
      <c r="A30" s="14" t="s">
        <v>153</v>
      </c>
      <c r="B30" s="14" t="s">
        <v>172</v>
      </c>
      <c r="C30" s="15" t="s">
        <v>72</v>
      </c>
      <c r="D30" s="16" t="s">
        <v>173</v>
      </c>
      <c r="E30" s="17" t="s">
        <v>174</v>
      </c>
      <c r="F30" s="14" t="s">
        <v>75</v>
      </c>
      <c r="G30" s="14" t="s">
        <v>109</v>
      </c>
      <c r="H30" s="15" t="s">
        <v>49</v>
      </c>
      <c r="I30" s="14" t="s">
        <v>161</v>
      </c>
      <c r="J30" s="14" t="s">
        <v>175</v>
      </c>
      <c r="K30" s="14" t="s">
        <v>176</v>
      </c>
    </row>
    <row r="31" customFormat="false" ht="23.85" hidden="false" customHeight="false" outlineLevel="0" collapsed="false">
      <c r="A31" s="14" t="s">
        <v>153</v>
      </c>
      <c r="B31" s="14" t="s">
        <v>172</v>
      </c>
      <c r="C31" s="15" t="s">
        <v>78</v>
      </c>
      <c r="D31" s="16" t="s">
        <v>177</v>
      </c>
      <c r="E31" s="17" t="s">
        <v>178</v>
      </c>
      <c r="F31" s="14" t="s">
        <v>91</v>
      </c>
      <c r="G31" s="14" t="s">
        <v>75</v>
      </c>
      <c r="H31" s="15" t="s">
        <v>49</v>
      </c>
      <c r="I31" s="14" t="s">
        <v>161</v>
      </c>
      <c r="J31" s="14" t="s">
        <v>179</v>
      </c>
      <c r="K31" s="14" t="s">
        <v>180</v>
      </c>
    </row>
    <row r="32" customFormat="false" ht="23.85" hidden="false" customHeight="false" outlineLevel="0" collapsed="false">
      <c r="A32" s="14" t="s">
        <v>153</v>
      </c>
      <c r="B32" s="14" t="s">
        <v>172</v>
      </c>
      <c r="C32" s="15" t="s">
        <v>83</v>
      </c>
      <c r="D32" s="16" t="s">
        <v>181</v>
      </c>
      <c r="E32" s="17" t="s">
        <v>182</v>
      </c>
      <c r="F32" s="14" t="s">
        <v>98</v>
      </c>
      <c r="G32" s="14" t="s">
        <v>48</v>
      </c>
      <c r="H32" s="15" t="s">
        <v>49</v>
      </c>
      <c r="I32" s="14" t="s">
        <v>161</v>
      </c>
      <c r="J32" s="14" t="s">
        <v>183</v>
      </c>
      <c r="K32" s="14" t="s">
        <v>184</v>
      </c>
    </row>
    <row r="33" customFormat="false" ht="23.85" hidden="false" customHeight="false" outlineLevel="0" collapsed="false">
      <c r="A33" s="14" t="s">
        <v>153</v>
      </c>
      <c r="B33" s="14" t="s">
        <v>172</v>
      </c>
      <c r="C33" s="15" t="s">
        <v>88</v>
      </c>
      <c r="D33" s="16" t="s">
        <v>185</v>
      </c>
      <c r="E33" s="17" t="s">
        <v>186</v>
      </c>
      <c r="F33" s="14" t="s">
        <v>62</v>
      </c>
      <c r="G33" s="14" t="s">
        <v>75</v>
      </c>
      <c r="H33" s="15" t="s">
        <v>49</v>
      </c>
      <c r="I33" s="14" t="s">
        <v>161</v>
      </c>
      <c r="J33" s="14" t="s">
        <v>183</v>
      </c>
      <c r="K33" s="14" t="s">
        <v>187</v>
      </c>
    </row>
    <row r="34" customFormat="false" ht="23.85" hidden="false" customHeight="false" outlineLevel="0" collapsed="false">
      <c r="A34" s="20" t="s">
        <v>153</v>
      </c>
      <c r="B34" s="20" t="s">
        <v>188</v>
      </c>
      <c r="C34" s="21" t="s">
        <v>95</v>
      </c>
      <c r="D34" s="22" t="s">
        <v>189</v>
      </c>
      <c r="E34" s="23" t="s">
        <v>190</v>
      </c>
      <c r="F34" s="20" t="s">
        <v>91</v>
      </c>
      <c r="G34" s="20" t="s">
        <v>48</v>
      </c>
      <c r="H34" s="21" t="s">
        <v>49</v>
      </c>
      <c r="I34" s="20" t="s">
        <v>161</v>
      </c>
      <c r="J34" s="20" t="s">
        <v>92</v>
      </c>
      <c r="K34" s="20" t="s">
        <v>191</v>
      </c>
    </row>
    <row r="35" customFormat="false" ht="23.85" hidden="false" customHeight="false" outlineLevel="0" collapsed="false">
      <c r="A35" s="20" t="s">
        <v>153</v>
      </c>
      <c r="B35" s="20" t="s">
        <v>188</v>
      </c>
      <c r="C35" s="21" t="s">
        <v>101</v>
      </c>
      <c r="D35" s="22" t="s">
        <v>192</v>
      </c>
      <c r="E35" s="23" t="s">
        <v>193</v>
      </c>
      <c r="F35" s="20" t="s">
        <v>109</v>
      </c>
      <c r="G35" s="20" t="s">
        <v>48</v>
      </c>
      <c r="H35" s="21" t="s">
        <v>129</v>
      </c>
      <c r="I35" s="20" t="s">
        <v>194</v>
      </c>
      <c r="J35" s="20" t="s">
        <v>195</v>
      </c>
      <c r="K35" s="20" t="s">
        <v>196</v>
      </c>
    </row>
    <row r="36" customFormat="false" ht="23.85" hidden="false" customHeight="false" outlineLevel="0" collapsed="false">
      <c r="A36" s="20" t="s">
        <v>153</v>
      </c>
      <c r="B36" s="20" t="s">
        <v>188</v>
      </c>
      <c r="C36" s="21" t="s">
        <v>106</v>
      </c>
      <c r="D36" s="22" t="s">
        <v>197</v>
      </c>
      <c r="E36" s="23" t="s">
        <v>198</v>
      </c>
      <c r="F36" s="20" t="s">
        <v>98</v>
      </c>
      <c r="G36" s="20" t="s">
        <v>48</v>
      </c>
      <c r="H36" s="21" t="s">
        <v>49</v>
      </c>
      <c r="I36" s="20" t="s">
        <v>161</v>
      </c>
      <c r="J36" s="20" t="s">
        <v>195</v>
      </c>
      <c r="K36" s="20" t="s">
        <v>199</v>
      </c>
    </row>
    <row r="37" customFormat="false" ht="23.85" hidden="false" customHeight="false" outlineLevel="0" collapsed="false">
      <c r="A37" s="20" t="s">
        <v>153</v>
      </c>
      <c r="B37" s="20" t="s">
        <v>188</v>
      </c>
      <c r="C37" s="21" t="s">
        <v>111</v>
      </c>
      <c r="D37" s="22" t="s">
        <v>200</v>
      </c>
      <c r="E37" s="23" t="s">
        <v>201</v>
      </c>
      <c r="F37" s="20" t="s">
        <v>114</v>
      </c>
      <c r="G37" s="20" t="s">
        <v>128</v>
      </c>
      <c r="H37" s="21" t="s">
        <v>121</v>
      </c>
      <c r="I37" s="20" t="s">
        <v>202</v>
      </c>
      <c r="J37" s="20" t="s">
        <v>203</v>
      </c>
      <c r="K37" s="20" t="s">
        <v>204</v>
      </c>
    </row>
    <row r="38" customFormat="false" ht="23.85" hidden="false" customHeight="false" outlineLevel="0" collapsed="false">
      <c r="A38" s="14" t="s">
        <v>153</v>
      </c>
      <c r="B38" s="14" t="s">
        <v>205</v>
      </c>
      <c r="C38" s="15" t="s">
        <v>118</v>
      </c>
      <c r="D38" s="16" t="s">
        <v>206</v>
      </c>
      <c r="E38" s="17" t="s">
        <v>207</v>
      </c>
      <c r="F38" s="14" t="s">
        <v>75</v>
      </c>
      <c r="G38" s="14" t="s">
        <v>48</v>
      </c>
      <c r="H38" s="15" t="s">
        <v>49</v>
      </c>
      <c r="I38" s="14" t="s">
        <v>161</v>
      </c>
      <c r="J38" s="14" t="s">
        <v>208</v>
      </c>
      <c r="K38" s="14" t="s">
        <v>209</v>
      </c>
    </row>
    <row r="39" customFormat="false" ht="23.85" hidden="false" customHeight="false" outlineLevel="0" collapsed="false">
      <c r="A39" s="14" t="s">
        <v>153</v>
      </c>
      <c r="B39" s="14" t="s">
        <v>205</v>
      </c>
      <c r="C39" s="15" t="s">
        <v>125</v>
      </c>
      <c r="D39" s="16" t="s">
        <v>210</v>
      </c>
      <c r="E39" s="17" t="s">
        <v>211</v>
      </c>
      <c r="F39" s="14" t="s">
        <v>128</v>
      </c>
      <c r="G39" s="14" t="s">
        <v>48</v>
      </c>
      <c r="H39" s="15" t="s">
        <v>129</v>
      </c>
      <c r="I39" s="14" t="s">
        <v>212</v>
      </c>
      <c r="J39" s="14" t="s">
        <v>213</v>
      </c>
      <c r="K39" s="14" t="s">
        <v>214</v>
      </c>
    </row>
    <row r="40" customFormat="false" ht="23.85" hidden="false" customHeight="false" outlineLevel="0" collapsed="false">
      <c r="A40" s="14" t="s">
        <v>153</v>
      </c>
      <c r="B40" s="14" t="s">
        <v>205</v>
      </c>
      <c r="C40" s="15" t="s">
        <v>133</v>
      </c>
      <c r="D40" s="16" t="s">
        <v>215</v>
      </c>
      <c r="E40" s="17" t="s">
        <v>216</v>
      </c>
      <c r="F40" s="14" t="s">
        <v>128</v>
      </c>
      <c r="G40" s="14" t="s">
        <v>48</v>
      </c>
      <c r="H40" s="15" t="s">
        <v>121</v>
      </c>
      <c r="I40" s="14" t="s">
        <v>217</v>
      </c>
      <c r="J40" s="14" t="s">
        <v>131</v>
      </c>
      <c r="K40" s="14" t="s">
        <v>218</v>
      </c>
    </row>
    <row r="41" customFormat="false" ht="23.85" hidden="false" customHeight="false" outlineLevel="0" collapsed="false">
      <c r="A41" s="14" t="s">
        <v>153</v>
      </c>
      <c r="B41" s="14" t="s">
        <v>205</v>
      </c>
      <c r="C41" s="15" t="s">
        <v>138</v>
      </c>
      <c r="D41" s="16" t="s">
        <v>219</v>
      </c>
      <c r="E41" s="17" t="s">
        <v>220</v>
      </c>
      <c r="F41" s="14" t="s">
        <v>141</v>
      </c>
      <c r="G41" s="14" t="s">
        <v>48</v>
      </c>
      <c r="H41" s="15" t="s">
        <v>129</v>
      </c>
      <c r="I41" s="14" t="s">
        <v>221</v>
      </c>
      <c r="J41" s="14" t="s">
        <v>222</v>
      </c>
      <c r="K41" s="14" t="s">
        <v>223</v>
      </c>
    </row>
    <row r="42" customFormat="false" ht="35.05" hidden="false" customHeight="false" outlineLevel="0" collapsed="false">
      <c r="A42" s="18" t="s">
        <v>153</v>
      </c>
      <c r="B42" s="18" t="s">
        <v>145</v>
      </c>
      <c r="C42" s="18" t="s">
        <v>146</v>
      </c>
      <c r="D42" s="18" t="s">
        <v>48</v>
      </c>
      <c r="E42" s="18" t="s">
        <v>147</v>
      </c>
      <c r="F42" s="18" t="s">
        <v>148</v>
      </c>
      <c r="G42" s="18" t="s">
        <v>48</v>
      </c>
      <c r="H42" s="18" t="s">
        <v>121</v>
      </c>
      <c r="I42" s="18" t="s">
        <v>149</v>
      </c>
      <c r="J42" s="18" t="s">
        <v>48</v>
      </c>
      <c r="K42" s="18" t="s">
        <v>224</v>
      </c>
    </row>
    <row r="43" customFormat="false" ht="35.05" hidden="false" customHeight="false" outlineLevel="0" collapsed="false">
      <c r="A43" s="18" t="s">
        <v>153</v>
      </c>
      <c r="B43" s="18" t="s">
        <v>145</v>
      </c>
      <c r="C43" s="18" t="s">
        <v>151</v>
      </c>
      <c r="D43" s="18" t="s">
        <v>48</v>
      </c>
      <c r="E43" s="18" t="s">
        <v>147</v>
      </c>
      <c r="F43" s="18" t="s">
        <v>148</v>
      </c>
      <c r="G43" s="18" t="s">
        <v>48</v>
      </c>
      <c r="H43" s="18" t="s">
        <v>121</v>
      </c>
      <c r="I43" s="18" t="s">
        <v>149</v>
      </c>
      <c r="J43" s="18" t="s">
        <v>48</v>
      </c>
      <c r="K43" s="18" t="s">
        <v>224</v>
      </c>
    </row>
    <row r="45" customFormat="false" ht="15" hidden="false" customHeight="false" outlineLevel="0" collapsed="false">
      <c r="A45" s="24" t="s">
        <v>225</v>
      </c>
      <c r="B45" s="24"/>
      <c r="C45" s="24"/>
      <c r="D45" s="24"/>
      <c r="E45" s="24"/>
      <c r="F45" s="24"/>
      <c r="G45" s="24"/>
      <c r="H45" s="24"/>
      <c r="I45" s="24"/>
      <c r="J45" s="24"/>
      <c r="K45" s="24"/>
    </row>
    <row r="46" customFormat="false" ht="23.85" hidden="false" customHeight="false" outlineLevel="0" collapsed="false">
      <c r="A46" s="25" t="s">
        <v>226</v>
      </c>
      <c r="B46" s="25" t="s">
        <v>227</v>
      </c>
      <c r="C46" s="26" t="s">
        <v>44</v>
      </c>
      <c r="D46" s="27" t="s">
        <v>228</v>
      </c>
      <c r="E46" s="28" t="s">
        <v>229</v>
      </c>
      <c r="F46" s="25" t="s">
        <v>47</v>
      </c>
      <c r="G46" s="25" t="s">
        <v>48</v>
      </c>
      <c r="H46" s="26" t="s">
        <v>49</v>
      </c>
      <c r="I46" s="25" t="s">
        <v>230</v>
      </c>
      <c r="J46" s="25" t="s">
        <v>123</v>
      </c>
      <c r="K46" s="25" t="s">
        <v>231</v>
      </c>
    </row>
    <row r="47" customFormat="false" ht="23.85" hidden="false" customHeight="false" outlineLevel="0" collapsed="false">
      <c r="A47" s="25" t="s">
        <v>226</v>
      </c>
      <c r="B47" s="25" t="s">
        <v>227</v>
      </c>
      <c r="C47" s="26" t="s">
        <v>53</v>
      </c>
      <c r="D47" s="27" t="s">
        <v>232</v>
      </c>
      <c r="E47" s="28" t="s">
        <v>233</v>
      </c>
      <c r="F47" s="25" t="s">
        <v>75</v>
      </c>
      <c r="G47" s="25" t="s">
        <v>48</v>
      </c>
      <c r="H47" s="26" t="s">
        <v>49</v>
      </c>
      <c r="I47" s="25" t="s">
        <v>234</v>
      </c>
      <c r="J47" s="25" t="s">
        <v>208</v>
      </c>
      <c r="K47" s="25" t="s">
        <v>235</v>
      </c>
    </row>
    <row r="48" customFormat="false" ht="23.85" hidden="false" customHeight="false" outlineLevel="0" collapsed="false">
      <c r="A48" s="25" t="s">
        <v>226</v>
      </c>
      <c r="B48" s="25" t="s">
        <v>227</v>
      </c>
      <c r="C48" s="26" t="s">
        <v>59</v>
      </c>
      <c r="D48" s="27" t="s">
        <v>236</v>
      </c>
      <c r="E48" s="28" t="s">
        <v>237</v>
      </c>
      <c r="F48" s="25" t="s">
        <v>62</v>
      </c>
      <c r="G48" s="25" t="s">
        <v>75</v>
      </c>
      <c r="H48" s="26" t="s">
        <v>49</v>
      </c>
      <c r="I48" s="25" t="s">
        <v>234</v>
      </c>
      <c r="J48" s="25" t="s">
        <v>238</v>
      </c>
      <c r="K48" s="25" t="s">
        <v>239</v>
      </c>
    </row>
    <row r="49" customFormat="false" ht="23.85" hidden="false" customHeight="false" outlineLevel="0" collapsed="false">
      <c r="A49" s="25" t="s">
        <v>226</v>
      </c>
      <c r="B49" s="25" t="s">
        <v>227</v>
      </c>
      <c r="C49" s="26" t="s">
        <v>65</v>
      </c>
      <c r="D49" s="27" t="s">
        <v>240</v>
      </c>
      <c r="E49" s="28" t="s">
        <v>241</v>
      </c>
      <c r="F49" s="25" t="s">
        <v>109</v>
      </c>
      <c r="G49" s="25" t="s">
        <v>68</v>
      </c>
      <c r="H49" s="26" t="s">
        <v>49</v>
      </c>
      <c r="I49" s="25" t="s">
        <v>234</v>
      </c>
      <c r="J49" s="25" t="s">
        <v>195</v>
      </c>
      <c r="K49" s="25" t="s">
        <v>242</v>
      </c>
    </row>
    <row r="50" customFormat="false" ht="23.85" hidden="false" customHeight="false" outlineLevel="0" collapsed="false">
      <c r="A50" s="14" t="s">
        <v>226</v>
      </c>
      <c r="B50" s="14" t="s">
        <v>243</v>
      </c>
      <c r="C50" s="15" t="s">
        <v>72</v>
      </c>
      <c r="D50" s="16" t="s">
        <v>244</v>
      </c>
      <c r="E50" s="17" t="s">
        <v>245</v>
      </c>
      <c r="F50" s="14" t="s">
        <v>98</v>
      </c>
      <c r="G50" s="14" t="s">
        <v>48</v>
      </c>
      <c r="H50" s="15" t="s">
        <v>49</v>
      </c>
      <c r="I50" s="14" t="s">
        <v>234</v>
      </c>
      <c r="J50" s="14" t="s">
        <v>104</v>
      </c>
      <c r="K50" s="14" t="s">
        <v>246</v>
      </c>
    </row>
    <row r="51" customFormat="false" ht="23.85" hidden="false" customHeight="false" outlineLevel="0" collapsed="false">
      <c r="A51" s="14" t="s">
        <v>226</v>
      </c>
      <c r="B51" s="14" t="s">
        <v>243</v>
      </c>
      <c r="C51" s="15" t="s">
        <v>78</v>
      </c>
      <c r="D51" s="16" t="s">
        <v>247</v>
      </c>
      <c r="E51" s="17" t="s">
        <v>248</v>
      </c>
      <c r="F51" s="14" t="s">
        <v>114</v>
      </c>
      <c r="G51" s="14" t="s">
        <v>128</v>
      </c>
      <c r="H51" s="15" t="s">
        <v>121</v>
      </c>
      <c r="I51" s="14" t="s">
        <v>249</v>
      </c>
      <c r="J51" s="14" t="s">
        <v>195</v>
      </c>
      <c r="K51" s="14" t="s">
        <v>250</v>
      </c>
    </row>
    <row r="52" customFormat="false" ht="23.85" hidden="false" customHeight="false" outlineLevel="0" collapsed="false">
      <c r="A52" s="14" t="s">
        <v>226</v>
      </c>
      <c r="B52" s="14" t="s">
        <v>243</v>
      </c>
      <c r="C52" s="15" t="s">
        <v>83</v>
      </c>
      <c r="D52" s="16" t="s">
        <v>251</v>
      </c>
      <c r="E52" s="17" t="s">
        <v>252</v>
      </c>
      <c r="F52" s="14" t="s">
        <v>98</v>
      </c>
      <c r="G52" s="14" t="s">
        <v>48</v>
      </c>
      <c r="H52" s="15" t="s">
        <v>49</v>
      </c>
      <c r="I52" s="14" t="s">
        <v>234</v>
      </c>
      <c r="J52" s="14" t="s">
        <v>253</v>
      </c>
      <c r="K52" s="14" t="s">
        <v>254</v>
      </c>
    </row>
    <row r="53" customFormat="false" ht="23.85" hidden="false" customHeight="false" outlineLevel="0" collapsed="false">
      <c r="A53" s="14" t="s">
        <v>226</v>
      </c>
      <c r="B53" s="14" t="s">
        <v>243</v>
      </c>
      <c r="C53" s="15" t="s">
        <v>88</v>
      </c>
      <c r="D53" s="16" t="s">
        <v>255</v>
      </c>
      <c r="E53" s="17" t="s">
        <v>256</v>
      </c>
      <c r="F53" s="14" t="s">
        <v>91</v>
      </c>
      <c r="G53" s="14" t="s">
        <v>48</v>
      </c>
      <c r="H53" s="15" t="s">
        <v>49</v>
      </c>
      <c r="I53" s="14" t="s">
        <v>234</v>
      </c>
      <c r="J53" s="14" t="s">
        <v>257</v>
      </c>
      <c r="K53" s="14" t="s">
        <v>258</v>
      </c>
    </row>
    <row r="54" customFormat="false" ht="23.85" hidden="false" customHeight="false" outlineLevel="0" collapsed="false">
      <c r="A54" s="25" t="s">
        <v>226</v>
      </c>
      <c r="B54" s="25" t="s">
        <v>259</v>
      </c>
      <c r="C54" s="26" t="s">
        <v>95</v>
      </c>
      <c r="D54" s="27" t="s">
        <v>260</v>
      </c>
      <c r="E54" s="28" t="s">
        <v>261</v>
      </c>
      <c r="F54" s="25" t="s">
        <v>62</v>
      </c>
      <c r="G54" s="25" t="s">
        <v>47</v>
      </c>
      <c r="H54" s="26" t="s">
        <v>49</v>
      </c>
      <c r="I54" s="25" t="s">
        <v>234</v>
      </c>
      <c r="J54" s="25" t="s">
        <v>262</v>
      </c>
      <c r="K54" s="25" t="s">
        <v>263</v>
      </c>
    </row>
    <row r="55" customFormat="false" ht="23.85" hidden="false" customHeight="false" outlineLevel="0" collapsed="false">
      <c r="A55" s="25" t="s">
        <v>226</v>
      </c>
      <c r="B55" s="25" t="s">
        <v>259</v>
      </c>
      <c r="C55" s="26" t="s">
        <v>101</v>
      </c>
      <c r="D55" s="27" t="s">
        <v>264</v>
      </c>
      <c r="E55" s="28" t="s">
        <v>265</v>
      </c>
      <c r="F55" s="25" t="s">
        <v>114</v>
      </c>
      <c r="G55" s="25" t="s">
        <v>48</v>
      </c>
      <c r="H55" s="26" t="s">
        <v>49</v>
      </c>
      <c r="I55" s="25" t="s">
        <v>234</v>
      </c>
      <c r="J55" s="25" t="s">
        <v>104</v>
      </c>
      <c r="K55" s="25" t="s">
        <v>266</v>
      </c>
    </row>
    <row r="56" customFormat="false" ht="23.85" hidden="false" customHeight="false" outlineLevel="0" collapsed="false">
      <c r="A56" s="25" t="s">
        <v>226</v>
      </c>
      <c r="B56" s="25" t="s">
        <v>259</v>
      </c>
      <c r="C56" s="26" t="s">
        <v>106</v>
      </c>
      <c r="D56" s="27" t="s">
        <v>267</v>
      </c>
      <c r="E56" s="28" t="s">
        <v>268</v>
      </c>
      <c r="F56" s="25" t="s">
        <v>75</v>
      </c>
      <c r="G56" s="25" t="s">
        <v>114</v>
      </c>
      <c r="H56" s="26" t="s">
        <v>49</v>
      </c>
      <c r="I56" s="25" t="s">
        <v>269</v>
      </c>
      <c r="J56" s="25" t="s">
        <v>270</v>
      </c>
      <c r="K56" s="25" t="s">
        <v>271</v>
      </c>
    </row>
    <row r="57" customFormat="false" ht="23.85" hidden="false" customHeight="false" outlineLevel="0" collapsed="false">
      <c r="A57" s="25" t="s">
        <v>226</v>
      </c>
      <c r="B57" s="25" t="s">
        <v>259</v>
      </c>
      <c r="C57" s="26" t="s">
        <v>111</v>
      </c>
      <c r="D57" s="27" t="s">
        <v>272</v>
      </c>
      <c r="E57" s="28" t="s">
        <v>273</v>
      </c>
      <c r="F57" s="25" t="s">
        <v>128</v>
      </c>
      <c r="G57" s="25" t="s">
        <v>48</v>
      </c>
      <c r="H57" s="26" t="s">
        <v>129</v>
      </c>
      <c r="I57" s="25" t="s">
        <v>274</v>
      </c>
      <c r="J57" s="25" t="s">
        <v>275</v>
      </c>
      <c r="K57" s="25" t="s">
        <v>276</v>
      </c>
    </row>
    <row r="58" customFormat="false" ht="23.85" hidden="false" customHeight="false" outlineLevel="0" collapsed="false">
      <c r="A58" s="14" t="s">
        <v>226</v>
      </c>
      <c r="B58" s="14" t="s">
        <v>277</v>
      </c>
      <c r="C58" s="15" t="s">
        <v>118</v>
      </c>
      <c r="D58" s="16" t="s">
        <v>278</v>
      </c>
      <c r="E58" s="17" t="s">
        <v>279</v>
      </c>
      <c r="F58" s="14" t="s">
        <v>68</v>
      </c>
      <c r="G58" s="14" t="s">
        <v>48</v>
      </c>
      <c r="H58" s="15" t="s">
        <v>129</v>
      </c>
      <c r="I58" s="14" t="s">
        <v>280</v>
      </c>
      <c r="J58" s="14" t="s">
        <v>131</v>
      </c>
      <c r="K58" s="14" t="s">
        <v>281</v>
      </c>
    </row>
    <row r="59" customFormat="false" ht="23.85" hidden="false" customHeight="false" outlineLevel="0" collapsed="false">
      <c r="A59" s="14" t="s">
        <v>226</v>
      </c>
      <c r="B59" s="14" t="s">
        <v>277</v>
      </c>
      <c r="C59" s="15" t="s">
        <v>125</v>
      </c>
      <c r="D59" s="16" t="s">
        <v>282</v>
      </c>
      <c r="E59" s="17" t="s">
        <v>283</v>
      </c>
      <c r="F59" s="14" t="s">
        <v>128</v>
      </c>
      <c r="G59" s="14" t="s">
        <v>48</v>
      </c>
      <c r="H59" s="15" t="s">
        <v>129</v>
      </c>
      <c r="I59" s="14" t="s">
        <v>212</v>
      </c>
      <c r="J59" s="14" t="s">
        <v>284</v>
      </c>
      <c r="K59" s="14" t="s">
        <v>285</v>
      </c>
    </row>
    <row r="60" customFormat="false" ht="23.85" hidden="false" customHeight="false" outlineLevel="0" collapsed="false">
      <c r="A60" s="14" t="s">
        <v>226</v>
      </c>
      <c r="B60" s="14" t="s">
        <v>277</v>
      </c>
      <c r="C60" s="15" t="s">
        <v>133</v>
      </c>
      <c r="D60" s="16" t="s">
        <v>286</v>
      </c>
      <c r="E60" s="17" t="s">
        <v>287</v>
      </c>
      <c r="F60" s="14" t="s">
        <v>141</v>
      </c>
      <c r="G60" s="14" t="s">
        <v>48</v>
      </c>
      <c r="H60" s="15" t="s">
        <v>129</v>
      </c>
      <c r="I60" s="14" t="s">
        <v>280</v>
      </c>
      <c r="J60" s="14" t="s">
        <v>123</v>
      </c>
      <c r="K60" s="14" t="s">
        <v>288</v>
      </c>
    </row>
    <row r="61" customFormat="false" ht="23.85" hidden="false" customHeight="false" outlineLevel="0" collapsed="false">
      <c r="A61" s="14" t="s">
        <v>226</v>
      </c>
      <c r="B61" s="14" t="s">
        <v>277</v>
      </c>
      <c r="C61" s="15" t="s">
        <v>138</v>
      </c>
      <c r="D61" s="16" t="s">
        <v>289</v>
      </c>
      <c r="E61" s="17" t="s">
        <v>290</v>
      </c>
      <c r="F61" s="14" t="s">
        <v>109</v>
      </c>
      <c r="G61" s="14" t="s">
        <v>48</v>
      </c>
      <c r="H61" s="15" t="s">
        <v>129</v>
      </c>
      <c r="I61" s="14" t="s">
        <v>194</v>
      </c>
      <c r="J61" s="14" t="s">
        <v>291</v>
      </c>
      <c r="K61" s="14" t="s">
        <v>292</v>
      </c>
    </row>
    <row r="62" customFormat="false" ht="23.85" hidden="false" customHeight="false" outlineLevel="0" collapsed="false">
      <c r="A62" s="18" t="s">
        <v>226</v>
      </c>
      <c r="B62" s="18" t="s">
        <v>145</v>
      </c>
      <c r="C62" s="18" t="s">
        <v>146</v>
      </c>
      <c r="D62" s="18" t="s">
        <v>48</v>
      </c>
      <c r="E62" s="18" t="s">
        <v>147</v>
      </c>
      <c r="F62" s="18" t="s">
        <v>148</v>
      </c>
      <c r="G62" s="18" t="s">
        <v>48</v>
      </c>
      <c r="H62" s="18" t="s">
        <v>121</v>
      </c>
      <c r="I62" s="18" t="s">
        <v>149</v>
      </c>
      <c r="J62" s="18" t="s">
        <v>48</v>
      </c>
      <c r="K62" s="18" t="s">
        <v>293</v>
      </c>
    </row>
    <row r="63" customFormat="false" ht="23.85" hidden="false" customHeight="false" outlineLevel="0" collapsed="false">
      <c r="A63" s="18" t="s">
        <v>226</v>
      </c>
      <c r="B63" s="18" t="s">
        <v>145</v>
      </c>
      <c r="C63" s="18" t="s">
        <v>151</v>
      </c>
      <c r="D63" s="18" t="s">
        <v>48</v>
      </c>
      <c r="E63" s="18" t="s">
        <v>147</v>
      </c>
      <c r="F63" s="18" t="s">
        <v>148</v>
      </c>
      <c r="G63" s="18" t="s">
        <v>48</v>
      </c>
      <c r="H63" s="18" t="s">
        <v>121</v>
      </c>
      <c r="I63" s="18" t="s">
        <v>149</v>
      </c>
      <c r="J63" s="18" t="s">
        <v>48</v>
      </c>
      <c r="K63" s="18" t="s">
        <v>293</v>
      </c>
    </row>
    <row r="65" customFormat="false" ht="15" hidden="false" customHeight="false" outlineLevel="0" collapsed="false">
      <c r="A65" s="29" t="s">
        <v>294</v>
      </c>
      <c r="B65" s="29"/>
      <c r="C65" s="29"/>
      <c r="D65" s="29"/>
      <c r="E65" s="29"/>
      <c r="F65" s="29"/>
      <c r="G65" s="29"/>
      <c r="H65" s="29"/>
      <c r="I65" s="29"/>
      <c r="J65" s="29"/>
      <c r="K65" s="29"/>
    </row>
    <row r="66" customFormat="false" ht="23.85" hidden="false" customHeight="false" outlineLevel="0" collapsed="false">
      <c r="A66" s="30" t="s">
        <v>295</v>
      </c>
      <c r="B66" s="30" t="s">
        <v>296</v>
      </c>
      <c r="C66" s="31" t="s">
        <v>44</v>
      </c>
      <c r="D66" s="32" t="s">
        <v>297</v>
      </c>
      <c r="E66" s="33" t="s">
        <v>298</v>
      </c>
      <c r="F66" s="30" t="s">
        <v>62</v>
      </c>
      <c r="G66" s="30" t="s">
        <v>47</v>
      </c>
      <c r="H66" s="31" t="s">
        <v>49</v>
      </c>
      <c r="I66" s="30" t="s">
        <v>269</v>
      </c>
      <c r="J66" s="30" t="s">
        <v>183</v>
      </c>
      <c r="K66" s="30" t="s">
        <v>299</v>
      </c>
    </row>
    <row r="67" customFormat="false" ht="23.85" hidden="false" customHeight="false" outlineLevel="0" collapsed="false">
      <c r="A67" s="30" t="s">
        <v>295</v>
      </c>
      <c r="B67" s="30" t="s">
        <v>296</v>
      </c>
      <c r="C67" s="31" t="s">
        <v>53</v>
      </c>
      <c r="D67" s="32" t="s">
        <v>300</v>
      </c>
      <c r="E67" s="33" t="s">
        <v>301</v>
      </c>
      <c r="F67" s="30" t="s">
        <v>98</v>
      </c>
      <c r="G67" s="30" t="s">
        <v>68</v>
      </c>
      <c r="H67" s="31" t="s">
        <v>49</v>
      </c>
      <c r="I67" s="30" t="s">
        <v>234</v>
      </c>
      <c r="J67" s="30" t="s">
        <v>104</v>
      </c>
      <c r="K67" s="30" t="s">
        <v>302</v>
      </c>
    </row>
    <row r="68" customFormat="false" ht="23.85" hidden="false" customHeight="false" outlineLevel="0" collapsed="false">
      <c r="A68" s="30" t="s">
        <v>295</v>
      </c>
      <c r="B68" s="30" t="s">
        <v>296</v>
      </c>
      <c r="C68" s="31" t="s">
        <v>59</v>
      </c>
      <c r="D68" s="32" t="s">
        <v>303</v>
      </c>
      <c r="E68" s="33" t="s">
        <v>304</v>
      </c>
      <c r="F68" s="30" t="s">
        <v>109</v>
      </c>
      <c r="G68" s="30" t="s">
        <v>48</v>
      </c>
      <c r="H68" s="31" t="s">
        <v>49</v>
      </c>
      <c r="I68" s="30" t="s">
        <v>234</v>
      </c>
      <c r="J68" s="30" t="s">
        <v>195</v>
      </c>
      <c r="K68" s="30" t="s">
        <v>305</v>
      </c>
    </row>
    <row r="69" customFormat="false" ht="23.85" hidden="false" customHeight="false" outlineLevel="0" collapsed="false">
      <c r="A69" s="30" t="s">
        <v>295</v>
      </c>
      <c r="B69" s="30" t="s">
        <v>296</v>
      </c>
      <c r="C69" s="31" t="s">
        <v>65</v>
      </c>
      <c r="D69" s="32" t="s">
        <v>306</v>
      </c>
      <c r="E69" s="33" t="s">
        <v>307</v>
      </c>
      <c r="F69" s="30" t="s">
        <v>75</v>
      </c>
      <c r="G69" s="30" t="s">
        <v>114</v>
      </c>
      <c r="H69" s="31" t="s">
        <v>49</v>
      </c>
      <c r="I69" s="30" t="s">
        <v>269</v>
      </c>
      <c r="J69" s="30" t="s">
        <v>308</v>
      </c>
      <c r="K69" s="30" t="s">
        <v>309</v>
      </c>
    </row>
    <row r="70" customFormat="false" ht="23.85" hidden="false" customHeight="false" outlineLevel="0" collapsed="false">
      <c r="A70" s="14" t="s">
        <v>295</v>
      </c>
      <c r="B70" s="14" t="s">
        <v>310</v>
      </c>
      <c r="C70" s="15" t="s">
        <v>72</v>
      </c>
      <c r="D70" s="16" t="s">
        <v>311</v>
      </c>
      <c r="E70" s="17" t="s">
        <v>312</v>
      </c>
      <c r="F70" s="14" t="s">
        <v>114</v>
      </c>
      <c r="G70" s="14" t="s">
        <v>48</v>
      </c>
      <c r="H70" s="15" t="s">
        <v>49</v>
      </c>
      <c r="I70" s="14" t="s">
        <v>269</v>
      </c>
      <c r="J70" s="14" t="s">
        <v>104</v>
      </c>
      <c r="K70" s="14" t="s">
        <v>313</v>
      </c>
    </row>
    <row r="71" customFormat="false" ht="23.85" hidden="false" customHeight="false" outlineLevel="0" collapsed="false">
      <c r="A71" s="14" t="s">
        <v>295</v>
      </c>
      <c r="B71" s="14" t="s">
        <v>310</v>
      </c>
      <c r="C71" s="15" t="s">
        <v>78</v>
      </c>
      <c r="D71" s="16" t="s">
        <v>314</v>
      </c>
      <c r="E71" s="17" t="s">
        <v>315</v>
      </c>
      <c r="F71" s="14" t="s">
        <v>114</v>
      </c>
      <c r="G71" s="14" t="s">
        <v>48</v>
      </c>
      <c r="H71" s="15" t="s">
        <v>49</v>
      </c>
      <c r="I71" s="14" t="s">
        <v>316</v>
      </c>
      <c r="J71" s="14" t="s">
        <v>317</v>
      </c>
      <c r="K71" s="14" t="s">
        <v>318</v>
      </c>
    </row>
    <row r="72" customFormat="false" ht="23.85" hidden="false" customHeight="false" outlineLevel="0" collapsed="false">
      <c r="A72" s="14" t="s">
        <v>295</v>
      </c>
      <c r="B72" s="14" t="s">
        <v>310</v>
      </c>
      <c r="C72" s="15" t="s">
        <v>83</v>
      </c>
      <c r="D72" s="16" t="s">
        <v>319</v>
      </c>
      <c r="E72" s="17" t="s">
        <v>320</v>
      </c>
      <c r="F72" s="14" t="s">
        <v>75</v>
      </c>
      <c r="G72" s="14" t="s">
        <v>48</v>
      </c>
      <c r="H72" s="15" t="s">
        <v>49</v>
      </c>
      <c r="I72" s="14" t="s">
        <v>269</v>
      </c>
      <c r="J72" s="14" t="s">
        <v>321</v>
      </c>
      <c r="K72" s="14" t="s">
        <v>322</v>
      </c>
    </row>
    <row r="73" customFormat="false" ht="23.85" hidden="false" customHeight="false" outlineLevel="0" collapsed="false">
      <c r="A73" s="14" t="s">
        <v>295</v>
      </c>
      <c r="B73" s="14" t="s">
        <v>310</v>
      </c>
      <c r="C73" s="15" t="s">
        <v>88</v>
      </c>
      <c r="D73" s="16" t="s">
        <v>323</v>
      </c>
      <c r="E73" s="17" t="s">
        <v>324</v>
      </c>
      <c r="F73" s="14" t="s">
        <v>91</v>
      </c>
      <c r="G73" s="14" t="s">
        <v>48</v>
      </c>
      <c r="H73" s="15" t="s">
        <v>49</v>
      </c>
      <c r="I73" s="14" t="s">
        <v>269</v>
      </c>
      <c r="J73" s="14" t="s">
        <v>257</v>
      </c>
      <c r="K73" s="14" t="s">
        <v>325</v>
      </c>
    </row>
    <row r="74" customFormat="false" ht="23.85" hidden="false" customHeight="false" outlineLevel="0" collapsed="false">
      <c r="A74" s="30" t="s">
        <v>295</v>
      </c>
      <c r="B74" s="30" t="s">
        <v>326</v>
      </c>
      <c r="C74" s="31" t="s">
        <v>95</v>
      </c>
      <c r="D74" s="32" t="s">
        <v>327</v>
      </c>
      <c r="E74" s="33" t="s">
        <v>328</v>
      </c>
      <c r="F74" s="30" t="s">
        <v>141</v>
      </c>
      <c r="G74" s="30" t="s">
        <v>48</v>
      </c>
      <c r="H74" s="31" t="s">
        <v>121</v>
      </c>
      <c r="I74" s="30" t="s">
        <v>329</v>
      </c>
      <c r="J74" s="30" t="s">
        <v>330</v>
      </c>
      <c r="K74" s="30" t="s">
        <v>331</v>
      </c>
    </row>
    <row r="75" customFormat="false" ht="23.85" hidden="false" customHeight="false" outlineLevel="0" collapsed="false">
      <c r="A75" s="30" t="s">
        <v>295</v>
      </c>
      <c r="B75" s="30" t="s">
        <v>326</v>
      </c>
      <c r="C75" s="31" t="s">
        <v>101</v>
      </c>
      <c r="D75" s="32" t="s">
        <v>332</v>
      </c>
      <c r="E75" s="33" t="s">
        <v>333</v>
      </c>
      <c r="F75" s="30" t="s">
        <v>141</v>
      </c>
      <c r="G75" s="30" t="s">
        <v>48</v>
      </c>
      <c r="H75" s="31" t="s">
        <v>121</v>
      </c>
      <c r="I75" s="30" t="s">
        <v>334</v>
      </c>
      <c r="J75" s="30" t="s">
        <v>335</v>
      </c>
      <c r="K75" s="30" t="s">
        <v>336</v>
      </c>
    </row>
    <row r="76" customFormat="false" ht="23.85" hidden="false" customHeight="false" outlineLevel="0" collapsed="false">
      <c r="A76" s="30" t="s">
        <v>295</v>
      </c>
      <c r="B76" s="30" t="s">
        <v>326</v>
      </c>
      <c r="C76" s="31" t="s">
        <v>106</v>
      </c>
      <c r="D76" s="32" t="s">
        <v>337</v>
      </c>
      <c r="E76" s="33" t="s">
        <v>338</v>
      </c>
      <c r="F76" s="30" t="s">
        <v>141</v>
      </c>
      <c r="G76" s="30" t="s">
        <v>48</v>
      </c>
      <c r="H76" s="31" t="s">
        <v>129</v>
      </c>
      <c r="I76" s="30" t="s">
        <v>334</v>
      </c>
      <c r="J76" s="30" t="s">
        <v>339</v>
      </c>
      <c r="K76" s="30" t="s">
        <v>340</v>
      </c>
    </row>
    <row r="77" customFormat="false" ht="23.85" hidden="false" customHeight="false" outlineLevel="0" collapsed="false">
      <c r="A77" s="30" t="s">
        <v>295</v>
      </c>
      <c r="B77" s="30" t="s">
        <v>326</v>
      </c>
      <c r="C77" s="31" t="s">
        <v>111</v>
      </c>
      <c r="D77" s="32" t="s">
        <v>341</v>
      </c>
      <c r="E77" s="33" t="s">
        <v>342</v>
      </c>
      <c r="F77" s="30" t="s">
        <v>128</v>
      </c>
      <c r="G77" s="30" t="s">
        <v>114</v>
      </c>
      <c r="H77" s="31" t="s">
        <v>121</v>
      </c>
      <c r="I77" s="30" t="s">
        <v>343</v>
      </c>
      <c r="J77" s="30" t="s">
        <v>195</v>
      </c>
      <c r="K77" s="30" t="s">
        <v>344</v>
      </c>
    </row>
    <row r="78" customFormat="false" ht="23.85" hidden="false" customHeight="false" outlineLevel="0" collapsed="false">
      <c r="A78" s="14" t="s">
        <v>295</v>
      </c>
      <c r="B78" s="14" t="s">
        <v>345</v>
      </c>
      <c r="C78" s="15" t="s">
        <v>118</v>
      </c>
      <c r="D78" s="16" t="s">
        <v>346</v>
      </c>
      <c r="E78" s="17" t="s">
        <v>347</v>
      </c>
      <c r="F78" s="14" t="s">
        <v>91</v>
      </c>
      <c r="G78" s="14" t="s">
        <v>48</v>
      </c>
      <c r="H78" s="15" t="s">
        <v>129</v>
      </c>
      <c r="I78" s="14" t="s">
        <v>348</v>
      </c>
      <c r="J78" s="14" t="s">
        <v>257</v>
      </c>
      <c r="K78" s="14" t="s">
        <v>349</v>
      </c>
    </row>
    <row r="79" customFormat="false" ht="23.85" hidden="false" customHeight="false" outlineLevel="0" collapsed="false">
      <c r="A79" s="14" t="s">
        <v>295</v>
      </c>
      <c r="B79" s="14" t="s">
        <v>345</v>
      </c>
      <c r="C79" s="15" t="s">
        <v>125</v>
      </c>
      <c r="D79" s="16" t="s">
        <v>350</v>
      </c>
      <c r="E79" s="17" t="s">
        <v>351</v>
      </c>
      <c r="F79" s="14" t="s">
        <v>98</v>
      </c>
      <c r="G79" s="14" t="s">
        <v>91</v>
      </c>
      <c r="H79" s="15" t="s">
        <v>49</v>
      </c>
      <c r="I79" s="14" t="s">
        <v>234</v>
      </c>
      <c r="J79" s="14" t="s">
        <v>179</v>
      </c>
      <c r="K79" s="14" t="s">
        <v>352</v>
      </c>
    </row>
    <row r="80" customFormat="false" ht="23.85" hidden="false" customHeight="false" outlineLevel="0" collapsed="false">
      <c r="A80" s="14" t="s">
        <v>295</v>
      </c>
      <c r="B80" s="14" t="s">
        <v>345</v>
      </c>
      <c r="C80" s="15" t="s">
        <v>133</v>
      </c>
      <c r="D80" s="16" t="s">
        <v>353</v>
      </c>
      <c r="E80" s="17" t="s">
        <v>354</v>
      </c>
      <c r="F80" s="14" t="s">
        <v>109</v>
      </c>
      <c r="G80" s="14" t="s">
        <v>48</v>
      </c>
      <c r="H80" s="15" t="s">
        <v>129</v>
      </c>
      <c r="I80" s="14" t="s">
        <v>355</v>
      </c>
      <c r="J80" s="14" t="s">
        <v>291</v>
      </c>
      <c r="K80" s="14" t="s">
        <v>356</v>
      </c>
    </row>
    <row r="81" customFormat="false" ht="23.85" hidden="false" customHeight="false" outlineLevel="0" collapsed="false">
      <c r="A81" s="14" t="s">
        <v>295</v>
      </c>
      <c r="B81" s="14" t="s">
        <v>345</v>
      </c>
      <c r="C81" s="15" t="s">
        <v>138</v>
      </c>
      <c r="D81" s="16" t="s">
        <v>357</v>
      </c>
      <c r="E81" s="17" t="s">
        <v>358</v>
      </c>
      <c r="F81" s="14" t="s">
        <v>128</v>
      </c>
      <c r="G81" s="14" t="s">
        <v>68</v>
      </c>
      <c r="H81" s="15" t="s">
        <v>121</v>
      </c>
      <c r="I81" s="14" t="s">
        <v>359</v>
      </c>
      <c r="J81" s="14" t="s">
        <v>123</v>
      </c>
      <c r="K81" s="14" t="s">
        <v>360</v>
      </c>
    </row>
    <row r="82" customFormat="false" ht="35.05" hidden="false" customHeight="false" outlineLevel="0" collapsed="false">
      <c r="A82" s="18" t="s">
        <v>295</v>
      </c>
      <c r="B82" s="18" t="s">
        <v>145</v>
      </c>
      <c r="C82" s="18" t="s">
        <v>146</v>
      </c>
      <c r="D82" s="18" t="s">
        <v>48</v>
      </c>
      <c r="E82" s="18" t="s">
        <v>147</v>
      </c>
      <c r="F82" s="18" t="s">
        <v>148</v>
      </c>
      <c r="G82" s="18" t="s">
        <v>48</v>
      </c>
      <c r="H82" s="18" t="s">
        <v>121</v>
      </c>
      <c r="I82" s="18" t="s">
        <v>149</v>
      </c>
      <c r="J82" s="18" t="s">
        <v>48</v>
      </c>
      <c r="K82" s="18" t="s">
        <v>361</v>
      </c>
    </row>
    <row r="83" customFormat="false" ht="35.05" hidden="false" customHeight="false" outlineLevel="0" collapsed="false">
      <c r="A83" s="18" t="s">
        <v>295</v>
      </c>
      <c r="B83" s="18" t="s">
        <v>145</v>
      </c>
      <c r="C83" s="18" t="s">
        <v>151</v>
      </c>
      <c r="D83" s="18" t="s">
        <v>48</v>
      </c>
      <c r="E83" s="18" t="s">
        <v>147</v>
      </c>
      <c r="F83" s="18" t="s">
        <v>148</v>
      </c>
      <c r="G83" s="18" t="s">
        <v>48</v>
      </c>
      <c r="H83" s="18" t="s">
        <v>121</v>
      </c>
      <c r="I83" s="18" t="s">
        <v>149</v>
      </c>
      <c r="J83" s="18" t="s">
        <v>48</v>
      </c>
      <c r="K83" s="18" t="s">
        <v>361</v>
      </c>
    </row>
    <row r="86" customFormat="false" ht="15" hidden="false" customHeight="false" outlineLevel="0" collapsed="false">
      <c r="A86" s="34" t="s">
        <v>362</v>
      </c>
    </row>
    <row r="87" customFormat="false" ht="15" hidden="false" customHeight="false" outlineLevel="0" collapsed="false">
      <c r="A87" s="35" t="s">
        <v>35</v>
      </c>
      <c r="B87" s="35" t="s">
        <v>363</v>
      </c>
      <c r="C87" s="35" t="s">
        <v>364</v>
      </c>
      <c r="D87" s="35" t="s">
        <v>365</v>
      </c>
      <c r="E87" s="35" t="s">
        <v>366</v>
      </c>
    </row>
    <row r="88" customFormat="false" ht="15" hidden="false" customHeight="false" outlineLevel="0" collapsed="false">
      <c r="A88" s="36" t="s">
        <v>47</v>
      </c>
      <c r="B88" s="15" t="n">
        <f aca="false">COUNTIFS($A$5:$A$120,"Ages 5-7",$F$5:$F$120,$A88)+COUNTIFS($A$5:$A$120,"Ages 5-7",$G$5:$G$120,$A88)</f>
        <v>2</v>
      </c>
      <c r="C88" s="15" t="n">
        <f aca="false">COUNTIFS($A$5:$A$120,"Ages 8-11",$F$5:$F$120,$A88)+COUNTIFS($A$5:$A$120,"Ages 8-11",$G$5:$G$120,$A88)</f>
        <v>1</v>
      </c>
      <c r="D88" s="15" t="n">
        <f aca="false">COUNTIFS($A$5:$A$120,"Ages 12-14",$F$5:$F$120,$A88)+COUNTIFS($A$5:$A$120,"Ages 12-14",$G$5:$G$120,$A88)</f>
        <v>2</v>
      </c>
      <c r="E88" s="15" t="n">
        <f aca="false">COUNTIFS($A$5:$A$120,"Ages 15-17",$F$5:$F$120,$A88)+COUNTIFS($A$5:$A$120,"Ages 15-17",$G$5:$G$120,$A88)</f>
        <v>1</v>
      </c>
    </row>
    <row r="89" customFormat="false" ht="15" hidden="false" customHeight="false" outlineLevel="0" collapsed="false">
      <c r="A89" s="36" t="s">
        <v>75</v>
      </c>
      <c r="B89" s="15" t="n">
        <f aca="false">COUNTIFS($A$5:$A$120,"Ages 5-7",$F$5:$F$120,$A89)+COUNTIFS($A$5:$A$120,"Ages 5-7",$G$5:$G$120,$A89)</f>
        <v>3</v>
      </c>
      <c r="C89" s="15" t="n">
        <f aca="false">COUNTIFS($A$5:$A$120,"Ages 8-11",$F$5:$F$120,$A89)+COUNTIFS($A$5:$A$120,"Ages 8-11",$G$5:$G$120,$A89)</f>
        <v>5</v>
      </c>
      <c r="D89" s="15" t="n">
        <f aca="false">COUNTIFS($A$5:$A$120,"Ages 12-14",$F$5:$F$120,$A89)+COUNTIFS($A$5:$A$120,"Ages 12-14",$G$5:$G$120,$A89)</f>
        <v>3</v>
      </c>
      <c r="E89" s="15" t="n">
        <f aca="false">COUNTIFS($A$5:$A$120,"Ages 15-17",$F$5:$F$120,$A89)+COUNTIFS($A$5:$A$120,"Ages 15-17",$G$5:$G$120,$A89)</f>
        <v>2</v>
      </c>
    </row>
    <row r="90" customFormat="false" ht="15" hidden="false" customHeight="false" outlineLevel="0" collapsed="false">
      <c r="A90" s="36" t="s">
        <v>98</v>
      </c>
      <c r="B90" s="15" t="n">
        <f aca="false">COUNTIFS($A$5:$A$120,"Ages 5-7",$F$5:$F$120,$A90)+COUNTIFS($A$5:$A$120,"Ages 5-7",$G$5:$G$120,$A90)</f>
        <v>2</v>
      </c>
      <c r="C90" s="15" t="n">
        <f aca="false">COUNTIFS($A$5:$A$120,"Ages 8-11",$F$5:$F$120,$A90)+COUNTIFS($A$5:$A$120,"Ages 8-11",$G$5:$G$120,$A90)</f>
        <v>3</v>
      </c>
      <c r="D90" s="15" t="n">
        <f aca="false">COUNTIFS($A$5:$A$120,"Ages 12-14",$F$5:$F$120,$A90)+COUNTIFS($A$5:$A$120,"Ages 12-14",$G$5:$G$120,$A90)</f>
        <v>2</v>
      </c>
      <c r="E90" s="15" t="n">
        <f aca="false">COUNTIFS($A$5:$A$120,"Ages 15-17",$F$5:$F$120,$A90)+COUNTIFS($A$5:$A$120,"Ages 15-17",$G$5:$G$120,$A90)</f>
        <v>2</v>
      </c>
    </row>
    <row r="91" customFormat="false" ht="15" hidden="false" customHeight="false" outlineLevel="0" collapsed="false">
      <c r="A91" s="36" t="s">
        <v>109</v>
      </c>
      <c r="B91" s="15" t="n">
        <f aca="false">COUNTIFS($A$5:$A$120,"Ages 5-7",$F$5:$F$120,$A91)+COUNTIFS($A$5:$A$120,"Ages 5-7",$G$5:$G$120,$A91)</f>
        <v>1</v>
      </c>
      <c r="C91" s="15" t="n">
        <f aca="false">COUNTIFS($A$5:$A$120,"Ages 8-11",$F$5:$F$120,$A91)+COUNTIFS($A$5:$A$120,"Ages 8-11",$G$5:$G$120,$A91)</f>
        <v>2</v>
      </c>
      <c r="D91" s="15" t="n">
        <f aca="false">COUNTIFS($A$5:$A$120,"Ages 12-14",$F$5:$F$120,$A91)+COUNTIFS($A$5:$A$120,"Ages 12-14",$G$5:$G$120,$A91)</f>
        <v>2</v>
      </c>
      <c r="E91" s="15" t="n">
        <f aca="false">COUNTIFS($A$5:$A$120,"Ages 15-17",$F$5:$F$120,$A91)+COUNTIFS($A$5:$A$120,"Ages 15-17",$G$5:$G$120,$A91)</f>
        <v>2</v>
      </c>
    </row>
    <row r="92" customFormat="false" ht="15" hidden="false" customHeight="false" outlineLevel="0" collapsed="false">
      <c r="A92" s="36" t="s">
        <v>62</v>
      </c>
      <c r="B92" s="15" t="n">
        <f aca="false">COUNTIFS($A$5:$A$120,"Ages 5-7",$F$5:$F$120,$A92)+COUNTIFS($A$5:$A$120,"Ages 5-7",$G$5:$G$120,$A92)</f>
        <v>1</v>
      </c>
      <c r="C92" s="15" t="n">
        <f aca="false">COUNTIFS($A$5:$A$120,"Ages 8-11",$F$5:$F$120,$A92)+COUNTIFS($A$5:$A$120,"Ages 8-11",$G$5:$G$120,$A92)</f>
        <v>1</v>
      </c>
      <c r="D92" s="15" t="n">
        <f aca="false">COUNTIFS($A$5:$A$120,"Ages 12-14",$F$5:$F$120,$A92)+COUNTIFS($A$5:$A$120,"Ages 12-14",$G$5:$G$120,$A92)</f>
        <v>2</v>
      </c>
      <c r="E92" s="15" t="n">
        <f aca="false">COUNTIFS($A$5:$A$120,"Ages 15-17",$F$5:$F$120,$A92)+COUNTIFS($A$5:$A$120,"Ages 15-17",$G$5:$G$120,$A92)</f>
        <v>1</v>
      </c>
    </row>
    <row r="93" customFormat="false" ht="15" hidden="false" customHeight="false" outlineLevel="0" collapsed="false">
      <c r="A93" s="36" t="s">
        <v>68</v>
      </c>
      <c r="B93" s="15" t="n">
        <f aca="false">COUNTIFS($A$5:$A$120,"Ages 5-7",$F$5:$F$120,$A93)+COUNTIFS($A$5:$A$120,"Ages 5-7",$G$5:$G$120,$A93)</f>
        <v>3</v>
      </c>
      <c r="C93" s="15" t="n">
        <f aca="false">COUNTIFS($A$5:$A$120,"Ages 8-11",$F$5:$F$120,$A93)+COUNTIFS($A$5:$A$120,"Ages 8-11",$G$5:$G$120,$A93)</f>
        <v>1</v>
      </c>
      <c r="D93" s="15" t="n">
        <f aca="false">COUNTIFS($A$5:$A$120,"Ages 12-14",$F$5:$F$120,$A93)+COUNTIFS($A$5:$A$120,"Ages 12-14",$G$5:$G$120,$A93)</f>
        <v>2</v>
      </c>
      <c r="E93" s="15" t="n">
        <f aca="false">COUNTIFS($A$5:$A$120,"Ages 15-17",$F$5:$F$120,$A93)+COUNTIFS($A$5:$A$120,"Ages 15-17",$G$5:$G$120,$A93)</f>
        <v>2</v>
      </c>
    </row>
    <row r="94" customFormat="false" ht="15" hidden="false" customHeight="false" outlineLevel="0" collapsed="false">
      <c r="A94" s="36" t="s">
        <v>114</v>
      </c>
      <c r="B94" s="15" t="n">
        <f aca="false">COUNTIFS($A$5:$A$120,"Ages 5-7",$F$5:$F$120,$A94)+COUNTIFS($A$5:$A$120,"Ages 5-7",$G$5:$G$120,$A94)</f>
        <v>1</v>
      </c>
      <c r="C94" s="15" t="n">
        <f aca="false">COUNTIFS($A$5:$A$120,"Ages 8-11",$F$5:$F$120,$A94)+COUNTIFS($A$5:$A$120,"Ages 8-11",$G$5:$G$120,$A94)</f>
        <v>1</v>
      </c>
      <c r="D94" s="15" t="n">
        <f aca="false">COUNTIFS($A$5:$A$120,"Ages 12-14",$F$5:$F$120,$A94)+COUNTIFS($A$5:$A$120,"Ages 12-14",$G$5:$G$120,$A94)</f>
        <v>3</v>
      </c>
      <c r="E94" s="15" t="n">
        <f aca="false">COUNTIFS($A$5:$A$120,"Ages 15-17",$F$5:$F$120,$A94)+COUNTIFS($A$5:$A$120,"Ages 15-17",$G$5:$G$120,$A94)</f>
        <v>4</v>
      </c>
    </row>
    <row r="95" customFormat="false" ht="15" hidden="false" customHeight="false" outlineLevel="0" collapsed="false">
      <c r="A95" s="36" t="s">
        <v>91</v>
      </c>
      <c r="B95" s="15" t="n">
        <f aca="false">COUNTIFS($A$5:$A$120,"Ages 5-7",$F$5:$F$120,$A95)+COUNTIFS($A$5:$A$120,"Ages 5-7",$G$5:$G$120,$A95)</f>
        <v>1</v>
      </c>
      <c r="C95" s="15" t="n">
        <f aca="false">COUNTIFS($A$5:$A$120,"Ages 8-11",$F$5:$F$120,$A95)+COUNTIFS($A$5:$A$120,"Ages 8-11",$G$5:$G$120,$A95)</f>
        <v>2</v>
      </c>
      <c r="D95" s="15" t="n">
        <f aca="false">COUNTIFS($A$5:$A$120,"Ages 12-14",$F$5:$F$120,$A95)+COUNTIFS($A$5:$A$120,"Ages 12-14",$G$5:$G$120,$A95)</f>
        <v>1</v>
      </c>
      <c r="E95" s="15" t="n">
        <f aca="false">COUNTIFS($A$5:$A$120,"Ages 15-17",$F$5:$F$120,$A95)+COUNTIFS($A$5:$A$120,"Ages 15-17",$G$5:$G$120,$A95)</f>
        <v>3</v>
      </c>
    </row>
    <row r="96" customFormat="false" ht="15" hidden="false" customHeight="false" outlineLevel="0" collapsed="false">
      <c r="A96" s="36" t="s">
        <v>141</v>
      </c>
      <c r="B96" s="15" t="n">
        <f aca="false">COUNTIFS($A$5:$A$120,"Ages 5-7",$F$5:$F$120,$A96)+COUNTIFS($A$5:$A$120,"Ages 5-7",$G$5:$G$120,$A96)</f>
        <v>1</v>
      </c>
      <c r="C96" s="15" t="n">
        <f aca="false">COUNTIFS($A$5:$A$120,"Ages 8-11",$F$5:$F$120,$A96)+COUNTIFS($A$5:$A$120,"Ages 8-11",$G$5:$G$120,$A96)</f>
        <v>1</v>
      </c>
      <c r="D96" s="15" t="n">
        <f aca="false">COUNTIFS($A$5:$A$120,"Ages 12-14",$F$5:$F$120,$A96)+COUNTIFS($A$5:$A$120,"Ages 12-14",$G$5:$G$120,$A96)</f>
        <v>1</v>
      </c>
      <c r="E96" s="15" t="n">
        <f aca="false">COUNTIFS($A$5:$A$120,"Ages 15-17",$F$5:$F$120,$A96)+COUNTIFS($A$5:$A$120,"Ages 15-17",$G$5:$G$120,$A96)</f>
        <v>3</v>
      </c>
    </row>
    <row r="97" customFormat="false" ht="15" hidden="false" customHeight="false" outlineLevel="0" collapsed="false">
      <c r="A97" s="36" t="s">
        <v>128</v>
      </c>
      <c r="B97" s="15" t="n">
        <f aca="false">COUNTIFS($A$5:$A$120,"Ages 5-7",$F$5:$F$120,$A97)+COUNTIFS($A$5:$A$120,"Ages 5-7",$G$5:$G$120,$A97)</f>
        <v>2</v>
      </c>
      <c r="C97" s="15" t="n">
        <f aca="false">COUNTIFS($A$5:$A$120,"Ages 8-11",$F$5:$F$120,$A97)+COUNTIFS($A$5:$A$120,"Ages 8-11",$G$5:$G$120,$A97)</f>
        <v>3</v>
      </c>
      <c r="D97" s="15" t="n">
        <f aca="false">COUNTIFS($A$5:$A$120,"Ages 12-14",$F$5:$F$120,$A97)+COUNTIFS($A$5:$A$120,"Ages 12-14",$G$5:$G$120,$A97)</f>
        <v>3</v>
      </c>
      <c r="E97" s="15" t="n">
        <f aca="false">COUNTIFS($A$5:$A$120,"Ages 15-17",$F$5:$F$120,$A97)+COUNTIFS($A$5:$A$120,"Ages 15-17",$G$5:$G$120,$A97)</f>
        <v>2</v>
      </c>
    </row>
  </sheetData>
  <autoFilter ref="A4:K85"/>
  <mergeCells count="4">
    <mergeCell ref="A5:K5"/>
    <mergeCell ref="A25:K25"/>
    <mergeCell ref="A45:K45"/>
    <mergeCell ref="A65:K65"/>
  </mergeCells>
  <hyperlinks>
    <hyperlink ref="D6" r:id="rId1" location="'Little%20Explorers%205-7'!A5" display="LE-01"/>
    <hyperlink ref="D7" r:id="rId2" location="'Little%20Explorers%205-7'!A14" display="LE-02"/>
    <hyperlink ref="D8" r:id="rId3" location="'Little%20Explorers%205-7'!A26" display="LE-03"/>
    <hyperlink ref="D9" r:id="rId4" location="'Little%20Explorers%205-7'!A34" display="LE-04"/>
    <hyperlink ref="D10" r:id="rId5" location="'Little%20Explorers%205-7'!A44" display="LE-05"/>
    <hyperlink ref="D11" r:id="rId6" location="'Little%20Explorers%205-7'!A55" display="LE-06"/>
    <hyperlink ref="D12" r:id="rId7" location="'Little%20Explorers%205-7'!A66" display="LE-07"/>
    <hyperlink ref="D13" r:id="rId8" location="'Little%20Explorers%205-7'!A80" display="LE-08"/>
    <hyperlink ref="D14" r:id="rId9" location="'Little%20Explorers%205-7'!A92" display="LE-09"/>
    <hyperlink ref="D15" r:id="rId10" location="'Little%20Explorers%205-7'!A105" display="LE-10"/>
    <hyperlink ref="D16" r:id="rId11" location="'Little%20Explorers%205-7'!A119" display="LE-11"/>
    <hyperlink ref="D17" r:id="rId12" location="'Little%20Explorers%205-7'!A126" display="LE-12"/>
    <hyperlink ref="D18" r:id="rId13" location="'Little%20Explorers%205-7'!A139" display="LE-13"/>
    <hyperlink ref="D19" r:id="rId14" location="'Little%20Explorers%205-7'!A146" display="LE-14"/>
    <hyperlink ref="D20" r:id="rId15" location="'Little%20Explorers%205-7'!A151" display="LE-15"/>
    <hyperlink ref="D21" r:id="rId16" location="'Little%20Explorers%205-7'!A157" display="LE-16"/>
    <hyperlink ref="D26" r:id="rId17" location="'Junior%20Makers%208-11'!A5" display="JM-01"/>
    <hyperlink ref="D27" r:id="rId18" location="'Junior%20Makers%208-11'!A16" display="JM-02"/>
    <hyperlink ref="D28" r:id="rId19" location="'Junior%20Makers%208-11'!A30" display="JM-03"/>
    <hyperlink ref="D29" r:id="rId20" location="'Junior%20Makers%208-11'!A42" display="JM-04"/>
    <hyperlink ref="D30" r:id="rId21" location="'Junior%20Makers%208-11'!A55" display="JM-05"/>
    <hyperlink ref="D31" r:id="rId22" location="'Junior%20Makers%208-11'!A69" display="JM-06"/>
    <hyperlink ref="D32" r:id="rId23" location="'Junior%20Makers%208-11'!A84" display="JM-07"/>
    <hyperlink ref="D33" r:id="rId24" location="'Junior%20Makers%208-11'!A98" display="JM-08"/>
    <hyperlink ref="D34" r:id="rId25" location="'Junior%20Makers%208-11'!A112" display="JM-09"/>
    <hyperlink ref="D35" r:id="rId26" location="'Junior%20Makers%208-11'!A126" display="JM-10"/>
    <hyperlink ref="D36" r:id="rId27" location="'Junior%20Makers%208-11'!A132" display="JM-11"/>
    <hyperlink ref="D37" r:id="rId28" location="'Junior%20Makers%208-11'!A144" display="JM-12"/>
    <hyperlink ref="D38" r:id="rId29" location="'Junior%20Makers%208-11'!A159" display="JM-13"/>
    <hyperlink ref="D39" r:id="rId30" location="'Junior%20Makers%208-11'!A171" display="JM-14"/>
    <hyperlink ref="D40" r:id="rId31" location="'Junior%20Makers%208-11'!A175" display="JM-15"/>
    <hyperlink ref="D41" r:id="rId32" location="'Junior%20Makers%208-11'!A185" display="JM-16"/>
    <hyperlink ref="D46" r:id="rId33" location="'Young%20Innovators%2012-14'!A5" display="YI-01"/>
    <hyperlink ref="D47" r:id="rId34" location="'Young%20Innovators%2012-14'!A22" display="YI-02"/>
    <hyperlink ref="D48" r:id="rId35" location="'Young%20Innovators%2012-14'!A35" display="YI-03"/>
    <hyperlink ref="D49" r:id="rId36" location="'Young%20Innovators%2012-14'!A48" display="YI-04"/>
    <hyperlink ref="D50" r:id="rId37" location="'Young%20Innovators%2012-14'!A61" display="YI-05"/>
    <hyperlink ref="D51" r:id="rId38" location="'Young%20Innovators%2012-14'!A74" display="YI-06"/>
    <hyperlink ref="D52" r:id="rId39" location="'Young%20Innovators%2012-14'!A91" display="YI-07"/>
    <hyperlink ref="D53" r:id="rId40" location="'Young%20Innovators%2012-14'!A105" display="YI-08"/>
    <hyperlink ref="D54" r:id="rId41" location="'Young%20Innovators%2012-14'!A119" display="YI-09"/>
    <hyperlink ref="D55" r:id="rId42" location="'Young%20Innovators%2012-14'!A133" display="YI-10"/>
    <hyperlink ref="D56" r:id="rId43" location="'Young%20Innovators%2012-14'!A147" display="YI-11"/>
    <hyperlink ref="D57" r:id="rId44" location="'Young%20Innovators%2012-14'!A162" display="YI-12"/>
    <hyperlink ref="D58" r:id="rId45" location="'Young%20Innovators%2012-14'!A168" display="YI-13"/>
    <hyperlink ref="D59" r:id="rId46" location="'Young%20Innovators%2012-14'!A172" display="YI-14"/>
    <hyperlink ref="D60" r:id="rId47" location="'Young%20Innovators%2012-14'!A176" display="YI-15"/>
    <hyperlink ref="D61" r:id="rId48" location="'Young%20Innovators%2012-14'!A180" display="YI-16"/>
    <hyperlink ref="D66" r:id="rId49" location="'Tech%20Leaders%2015-17'!A5" display="TL-01"/>
    <hyperlink ref="D67" r:id="rId50" location="'Tech%20Leaders%2015-17'!A19" display="TL-02"/>
    <hyperlink ref="D68" r:id="rId51" location="'Tech%20Leaders%2015-17'!A32" display="TL-03"/>
    <hyperlink ref="D69" r:id="rId52" location="'Tech%20Leaders%2015-17'!A48" display="TL-04"/>
    <hyperlink ref="D70" r:id="rId53" location="'Tech%20Leaders%2015-17'!A61" display="TL-05"/>
    <hyperlink ref="D71" r:id="rId54" location="'Tech%20Leaders%2015-17'!A73" display="TL-06"/>
    <hyperlink ref="D72" r:id="rId55" location="'Tech%20Leaders%2015-17'!A86" display="TL-07"/>
    <hyperlink ref="D73" r:id="rId56" location="'Tech%20Leaders%2015-17'!A100" display="TL-08"/>
    <hyperlink ref="D74" r:id="rId57" location="'Tech%20Leaders%2015-17'!A114" display="TL-09"/>
    <hyperlink ref="D75" r:id="rId58" location="'Tech%20Leaders%2015-17'!A125" display="TL-10"/>
    <hyperlink ref="D76" r:id="rId59" location="'Tech%20Leaders%2015-17'!A136" display="TL-11"/>
    <hyperlink ref="D77" r:id="rId60" location="'Tech%20Leaders%2015-17'!A140" display="TL-12"/>
    <hyperlink ref="D78" r:id="rId61" location="'Tech%20Leaders%2015-17'!A153" display="TL-13"/>
    <hyperlink ref="D79" r:id="rId62" location="'Tech%20Leaders%2015-17'!A157" display="TL-14"/>
    <hyperlink ref="D80" r:id="rId63" location="'Tech%20Leaders%2015-17'!A172" display="TL-15"/>
    <hyperlink ref="D81" r:id="rId64" location="'Tech%20Leaders%2015-17'!A178" display="TL-16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6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9E5B"/>
    <pageSetUpPr fitToPage="true"/>
  </sheetPr>
  <dimension ref="A1:G1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4" min="4" style="0" width="7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50"/>
  </cols>
  <sheetData>
    <row r="1" customFormat="false" ht="17.35" hidden="false" customHeight="false" outlineLevel="0" collapsed="false">
      <c r="A1" s="37" t="s">
        <v>367</v>
      </c>
    </row>
    <row r="2" customFormat="false" ht="15" hidden="false" customHeight="false" outlineLevel="0" collapsed="false">
      <c r="A2" s="2" t="s">
        <v>368</v>
      </c>
    </row>
    <row r="4" customFormat="false" ht="15" hidden="false" customHeight="false" outlineLevel="0" collapsed="false">
      <c r="A4" s="8" t="s">
        <v>33</v>
      </c>
      <c r="B4" s="8" t="s">
        <v>369</v>
      </c>
      <c r="C4" s="8" t="s">
        <v>370</v>
      </c>
      <c r="D4" s="8" t="s">
        <v>371</v>
      </c>
      <c r="E4" s="8" t="s">
        <v>372</v>
      </c>
      <c r="F4" s="8" t="s">
        <v>373</v>
      </c>
      <c r="G4" s="8" t="s">
        <v>374</v>
      </c>
    </row>
    <row r="5" customFormat="false" ht="15" hidden="false" customHeight="false" outlineLevel="0" collapsed="false">
      <c r="A5" s="38" t="s">
        <v>45</v>
      </c>
      <c r="B5" s="9" t="s">
        <v>375</v>
      </c>
      <c r="C5" s="9"/>
      <c r="D5" s="9"/>
      <c r="E5" s="9"/>
      <c r="F5" s="9"/>
      <c r="G5" s="9"/>
    </row>
    <row r="6" customFormat="false" ht="30" hidden="false" customHeight="true" outlineLevel="0" collapsed="false">
      <c r="A6" s="39" t="s">
        <v>45</v>
      </c>
      <c r="B6" s="40" t="s">
        <v>376</v>
      </c>
      <c r="C6" s="40"/>
      <c r="D6" s="40"/>
      <c r="E6" s="40"/>
      <c r="F6" s="40"/>
      <c r="G6" s="40"/>
    </row>
    <row r="7" customFormat="false" ht="15" hidden="false" customHeight="false" outlineLevel="0" collapsed="false">
      <c r="A7" s="41" t="s">
        <v>45</v>
      </c>
      <c r="B7" s="14" t="s">
        <v>377</v>
      </c>
      <c r="C7" s="14" t="s">
        <v>378</v>
      </c>
      <c r="D7" s="15" t="n">
        <v>2</v>
      </c>
      <c r="E7" s="15" t="s">
        <v>379</v>
      </c>
      <c r="F7" s="15" t="s">
        <v>380</v>
      </c>
      <c r="G7" s="14"/>
    </row>
    <row r="8" customFormat="false" ht="15" hidden="false" customHeight="false" outlineLevel="0" collapsed="false">
      <c r="A8" s="41" t="s">
        <v>45</v>
      </c>
      <c r="B8" s="14" t="s">
        <v>381</v>
      </c>
      <c r="C8" s="14" t="s">
        <v>382</v>
      </c>
      <c r="D8" s="15" t="n">
        <v>1</v>
      </c>
      <c r="E8" s="15" t="s">
        <v>379</v>
      </c>
      <c r="F8" s="15" t="s">
        <v>380</v>
      </c>
      <c r="G8" s="14"/>
    </row>
    <row r="9" customFormat="false" ht="15" hidden="false" customHeight="false" outlineLevel="0" collapsed="false">
      <c r="A9" s="41" t="s">
        <v>45</v>
      </c>
      <c r="B9" s="14" t="s">
        <v>383</v>
      </c>
      <c r="C9" s="14" t="s">
        <v>384</v>
      </c>
      <c r="D9" s="15" t="n">
        <v>1</v>
      </c>
      <c r="E9" s="15" t="s">
        <v>379</v>
      </c>
      <c r="F9" s="15" t="s">
        <v>380</v>
      </c>
      <c r="G9" s="14" t="s">
        <v>385</v>
      </c>
    </row>
    <row r="10" customFormat="false" ht="15" hidden="false" customHeight="false" outlineLevel="0" collapsed="false">
      <c r="A10" s="41" t="s">
        <v>45</v>
      </c>
      <c r="B10" s="14" t="s">
        <v>386</v>
      </c>
      <c r="C10" s="14" t="s">
        <v>387</v>
      </c>
      <c r="D10" s="15" t="n">
        <v>2</v>
      </c>
      <c r="E10" s="15" t="s">
        <v>379</v>
      </c>
      <c r="F10" s="15" t="s">
        <v>380</v>
      </c>
      <c r="G10" s="14"/>
    </row>
    <row r="11" customFormat="false" ht="15" hidden="false" customHeight="false" outlineLevel="0" collapsed="false">
      <c r="A11" s="41" t="s">
        <v>45</v>
      </c>
      <c r="B11" s="14" t="s">
        <v>386</v>
      </c>
      <c r="C11" s="14" t="s">
        <v>388</v>
      </c>
      <c r="D11" s="15" t="n">
        <v>1</v>
      </c>
      <c r="E11" s="15" t="s">
        <v>379</v>
      </c>
      <c r="F11" s="15" t="s">
        <v>380</v>
      </c>
      <c r="G11" s="14"/>
    </row>
    <row r="12" customFormat="false" ht="15" hidden="false" customHeight="false" outlineLevel="0" collapsed="false">
      <c r="A12" s="41" t="s">
        <v>45</v>
      </c>
      <c r="B12" s="14" t="s">
        <v>386</v>
      </c>
      <c r="C12" s="14" t="s">
        <v>389</v>
      </c>
      <c r="D12" s="15" t="n">
        <v>1</v>
      </c>
      <c r="E12" s="42" t="s">
        <v>20</v>
      </c>
      <c r="F12" s="15" t="s">
        <v>380</v>
      </c>
      <c r="G12" s="14"/>
    </row>
    <row r="14" customFormat="false" ht="15" hidden="false" customHeight="false" outlineLevel="0" collapsed="false">
      <c r="A14" s="38" t="s">
        <v>54</v>
      </c>
      <c r="B14" s="9" t="s">
        <v>390</v>
      </c>
      <c r="C14" s="9"/>
      <c r="D14" s="9"/>
      <c r="E14" s="9"/>
      <c r="F14" s="9"/>
      <c r="G14" s="9"/>
    </row>
    <row r="15" customFormat="false" ht="30" hidden="false" customHeight="true" outlineLevel="0" collapsed="false">
      <c r="A15" s="39" t="s">
        <v>54</v>
      </c>
      <c r="B15" s="40" t="s">
        <v>391</v>
      </c>
      <c r="C15" s="40"/>
      <c r="D15" s="40"/>
      <c r="E15" s="40"/>
      <c r="F15" s="40"/>
      <c r="G15" s="40"/>
    </row>
    <row r="16" customFormat="false" ht="15" hidden="false" customHeight="false" outlineLevel="0" collapsed="false">
      <c r="A16" s="41" t="s">
        <v>54</v>
      </c>
      <c r="B16" s="14" t="s">
        <v>392</v>
      </c>
      <c r="C16" s="14" t="s">
        <v>393</v>
      </c>
      <c r="D16" s="15" t="n">
        <v>1</v>
      </c>
      <c r="E16" s="15" t="s">
        <v>379</v>
      </c>
      <c r="F16" s="15" t="s">
        <v>394</v>
      </c>
      <c r="G16" s="14" t="s">
        <v>395</v>
      </c>
    </row>
    <row r="17" customFormat="false" ht="15" hidden="false" customHeight="false" outlineLevel="0" collapsed="false">
      <c r="A17" s="41" t="s">
        <v>54</v>
      </c>
      <c r="B17" s="14" t="s">
        <v>396</v>
      </c>
      <c r="C17" s="14" t="s">
        <v>397</v>
      </c>
      <c r="D17" s="15" t="n">
        <v>1</v>
      </c>
      <c r="E17" s="15" t="s">
        <v>379</v>
      </c>
      <c r="F17" s="15" t="s">
        <v>394</v>
      </c>
      <c r="G17" s="14"/>
    </row>
    <row r="18" customFormat="false" ht="15" hidden="false" customHeight="false" outlineLevel="0" collapsed="false">
      <c r="A18" s="41" t="s">
        <v>54</v>
      </c>
      <c r="B18" s="14" t="s">
        <v>377</v>
      </c>
      <c r="C18" s="14" t="s">
        <v>378</v>
      </c>
      <c r="D18" s="15" t="n">
        <v>1</v>
      </c>
      <c r="E18" s="15" t="s">
        <v>379</v>
      </c>
      <c r="F18" s="15" t="s">
        <v>380</v>
      </c>
      <c r="G18" s="14"/>
    </row>
    <row r="19" customFormat="false" ht="15" hidden="false" customHeight="false" outlineLevel="0" collapsed="false">
      <c r="A19" s="41" t="s">
        <v>54</v>
      </c>
      <c r="B19" s="14" t="s">
        <v>398</v>
      </c>
      <c r="C19" s="14" t="s">
        <v>399</v>
      </c>
      <c r="D19" s="15" t="n">
        <v>1</v>
      </c>
      <c r="E19" s="15" t="s">
        <v>379</v>
      </c>
      <c r="F19" s="15" t="s">
        <v>394</v>
      </c>
      <c r="G19" s="14"/>
    </row>
    <row r="20" customFormat="false" ht="15" hidden="false" customHeight="false" outlineLevel="0" collapsed="false">
      <c r="A20" s="41" t="s">
        <v>54</v>
      </c>
      <c r="B20" s="14" t="s">
        <v>398</v>
      </c>
      <c r="C20" s="14" t="s">
        <v>400</v>
      </c>
      <c r="D20" s="15" t="n">
        <v>1</v>
      </c>
      <c r="E20" s="15" t="s">
        <v>379</v>
      </c>
      <c r="F20" s="15" t="s">
        <v>380</v>
      </c>
      <c r="G20" s="14"/>
    </row>
    <row r="21" customFormat="false" ht="15" hidden="false" customHeight="false" outlineLevel="0" collapsed="false">
      <c r="A21" s="41" t="s">
        <v>54</v>
      </c>
      <c r="B21" s="14" t="s">
        <v>398</v>
      </c>
      <c r="C21" s="14" t="s">
        <v>401</v>
      </c>
      <c r="D21" s="15" t="n">
        <v>1</v>
      </c>
      <c r="E21" s="15" t="s">
        <v>379</v>
      </c>
      <c r="F21" s="15" t="s">
        <v>380</v>
      </c>
      <c r="G21" s="14"/>
    </row>
    <row r="22" customFormat="false" ht="15" hidden="false" customHeight="false" outlineLevel="0" collapsed="false">
      <c r="A22" s="41" t="s">
        <v>54</v>
      </c>
      <c r="B22" s="14" t="s">
        <v>383</v>
      </c>
      <c r="C22" s="14" t="s">
        <v>402</v>
      </c>
      <c r="D22" s="15" t="n">
        <v>1</v>
      </c>
      <c r="E22" s="15" t="s">
        <v>379</v>
      </c>
      <c r="F22" s="15" t="s">
        <v>394</v>
      </c>
      <c r="G22" s="14"/>
    </row>
    <row r="23" customFormat="false" ht="15" hidden="false" customHeight="false" outlineLevel="0" collapsed="false">
      <c r="A23" s="41" t="s">
        <v>54</v>
      </c>
      <c r="B23" s="14" t="s">
        <v>383</v>
      </c>
      <c r="C23" s="14" t="s">
        <v>403</v>
      </c>
      <c r="D23" s="15" t="n">
        <v>6</v>
      </c>
      <c r="E23" s="15" t="s">
        <v>379</v>
      </c>
      <c r="F23" s="15" t="s">
        <v>394</v>
      </c>
      <c r="G23" s="14"/>
    </row>
    <row r="24" customFormat="false" ht="15" hidden="false" customHeight="false" outlineLevel="0" collapsed="false">
      <c r="A24" s="41" t="s">
        <v>54</v>
      </c>
      <c r="B24" s="14" t="s">
        <v>404</v>
      </c>
      <c r="C24" s="14" t="s">
        <v>405</v>
      </c>
      <c r="D24" s="15" t="n">
        <v>1</v>
      </c>
      <c r="E24" s="15" t="s">
        <v>379</v>
      </c>
      <c r="F24" s="15" t="s">
        <v>394</v>
      </c>
      <c r="G24" s="14"/>
    </row>
    <row r="26" customFormat="false" ht="15" hidden="false" customHeight="false" outlineLevel="0" collapsed="false">
      <c r="A26" s="38" t="s">
        <v>60</v>
      </c>
      <c r="B26" s="9" t="s">
        <v>406</v>
      </c>
      <c r="C26" s="9"/>
      <c r="D26" s="9"/>
      <c r="E26" s="9"/>
      <c r="F26" s="9"/>
      <c r="G26" s="9"/>
    </row>
    <row r="27" customFormat="false" ht="30" hidden="false" customHeight="true" outlineLevel="0" collapsed="false">
      <c r="A27" s="39" t="s">
        <v>60</v>
      </c>
      <c r="B27" s="40" t="s">
        <v>407</v>
      </c>
      <c r="C27" s="40"/>
      <c r="D27" s="40"/>
      <c r="E27" s="40"/>
      <c r="F27" s="40"/>
      <c r="G27" s="40"/>
    </row>
    <row r="28" customFormat="false" ht="15" hidden="false" customHeight="false" outlineLevel="0" collapsed="false">
      <c r="A28" s="41" t="s">
        <v>60</v>
      </c>
      <c r="B28" s="14" t="s">
        <v>377</v>
      </c>
      <c r="C28" s="14" t="s">
        <v>378</v>
      </c>
      <c r="D28" s="15" t="n">
        <v>1</v>
      </c>
      <c r="E28" s="15" t="s">
        <v>379</v>
      </c>
      <c r="F28" s="15" t="s">
        <v>380</v>
      </c>
      <c r="G28" s="14" t="s">
        <v>408</v>
      </c>
    </row>
    <row r="29" customFormat="false" ht="15" hidden="false" customHeight="false" outlineLevel="0" collapsed="false">
      <c r="A29" s="41" t="s">
        <v>60</v>
      </c>
      <c r="B29" s="14" t="s">
        <v>383</v>
      </c>
      <c r="C29" s="14" t="s">
        <v>409</v>
      </c>
      <c r="D29" s="15" t="n">
        <v>5</v>
      </c>
      <c r="E29" s="15" t="s">
        <v>379</v>
      </c>
      <c r="F29" s="15" t="s">
        <v>394</v>
      </c>
      <c r="G29" s="14"/>
    </row>
    <row r="30" customFormat="false" ht="15" hidden="false" customHeight="false" outlineLevel="0" collapsed="false">
      <c r="A30" s="41" t="s">
        <v>60</v>
      </c>
      <c r="B30" s="14" t="s">
        <v>410</v>
      </c>
      <c r="C30" s="14" t="s">
        <v>411</v>
      </c>
      <c r="D30" s="15" t="n">
        <v>4</v>
      </c>
      <c r="E30" s="15" t="s">
        <v>379</v>
      </c>
      <c r="F30" s="15" t="s">
        <v>380</v>
      </c>
      <c r="G30" s="14"/>
    </row>
    <row r="31" customFormat="false" ht="15" hidden="false" customHeight="false" outlineLevel="0" collapsed="false">
      <c r="A31" s="41" t="s">
        <v>60</v>
      </c>
      <c r="B31" s="14" t="s">
        <v>410</v>
      </c>
      <c r="C31" s="14" t="s">
        <v>412</v>
      </c>
      <c r="D31" s="15" t="n">
        <v>4</v>
      </c>
      <c r="E31" s="15" t="s">
        <v>379</v>
      </c>
      <c r="F31" s="15" t="s">
        <v>380</v>
      </c>
      <c r="G31" s="14"/>
    </row>
    <row r="32" customFormat="false" ht="15" hidden="false" customHeight="false" outlineLevel="0" collapsed="false">
      <c r="A32" s="41" t="s">
        <v>60</v>
      </c>
      <c r="B32" s="14" t="s">
        <v>410</v>
      </c>
      <c r="C32" s="14" t="s">
        <v>413</v>
      </c>
      <c r="D32" s="15" t="n">
        <v>4</v>
      </c>
      <c r="E32" s="15" t="s">
        <v>379</v>
      </c>
      <c r="F32" s="15" t="s">
        <v>394</v>
      </c>
      <c r="G32" s="14"/>
    </row>
    <row r="34" customFormat="false" ht="15" hidden="false" customHeight="false" outlineLevel="0" collapsed="false">
      <c r="A34" s="38" t="s">
        <v>66</v>
      </c>
      <c r="B34" s="9" t="s">
        <v>414</v>
      </c>
      <c r="C34" s="9"/>
      <c r="D34" s="9"/>
      <c r="E34" s="9"/>
      <c r="F34" s="9"/>
      <c r="G34" s="9"/>
    </row>
    <row r="35" customFormat="false" ht="30" hidden="false" customHeight="true" outlineLevel="0" collapsed="false">
      <c r="A35" s="39" t="s">
        <v>66</v>
      </c>
      <c r="B35" s="40" t="s">
        <v>415</v>
      </c>
      <c r="C35" s="40"/>
      <c r="D35" s="40"/>
      <c r="E35" s="40"/>
      <c r="F35" s="40"/>
      <c r="G35" s="40"/>
    </row>
    <row r="36" customFormat="false" ht="15" hidden="false" customHeight="false" outlineLevel="0" collapsed="false">
      <c r="A36" s="41" t="s">
        <v>66</v>
      </c>
      <c r="B36" s="14" t="s">
        <v>392</v>
      </c>
      <c r="C36" s="14" t="s">
        <v>393</v>
      </c>
      <c r="D36" s="15" t="n">
        <v>1</v>
      </c>
      <c r="E36" s="15" t="s">
        <v>379</v>
      </c>
      <c r="F36" s="15" t="s">
        <v>394</v>
      </c>
      <c r="G36" s="14" t="s">
        <v>395</v>
      </c>
    </row>
    <row r="37" customFormat="false" ht="15" hidden="false" customHeight="false" outlineLevel="0" collapsed="false">
      <c r="A37" s="41" t="s">
        <v>66</v>
      </c>
      <c r="B37" s="14" t="s">
        <v>396</v>
      </c>
      <c r="C37" s="14" t="s">
        <v>397</v>
      </c>
      <c r="D37" s="15" t="n">
        <v>1</v>
      </c>
      <c r="E37" s="15" t="s">
        <v>379</v>
      </c>
      <c r="F37" s="15" t="s">
        <v>394</v>
      </c>
      <c r="G37" s="14"/>
    </row>
    <row r="38" customFormat="false" ht="15" hidden="false" customHeight="false" outlineLevel="0" collapsed="false">
      <c r="A38" s="41" t="s">
        <v>66</v>
      </c>
      <c r="B38" s="14" t="s">
        <v>377</v>
      </c>
      <c r="C38" s="14" t="s">
        <v>378</v>
      </c>
      <c r="D38" s="15" t="n">
        <v>3</v>
      </c>
      <c r="E38" s="15" t="s">
        <v>379</v>
      </c>
      <c r="F38" s="15" t="s">
        <v>380</v>
      </c>
      <c r="G38" s="14" t="s">
        <v>416</v>
      </c>
    </row>
    <row r="39" customFormat="false" ht="15" hidden="false" customHeight="false" outlineLevel="0" collapsed="false">
      <c r="A39" s="41" t="s">
        <v>66</v>
      </c>
      <c r="B39" s="14" t="s">
        <v>398</v>
      </c>
      <c r="C39" s="14" t="s">
        <v>400</v>
      </c>
      <c r="D39" s="15" t="n">
        <v>3</v>
      </c>
      <c r="E39" s="15" t="s">
        <v>379</v>
      </c>
      <c r="F39" s="15" t="s">
        <v>380</v>
      </c>
      <c r="G39" s="14"/>
    </row>
    <row r="40" customFormat="false" ht="15" hidden="false" customHeight="false" outlineLevel="0" collapsed="false">
      <c r="A40" s="41" t="s">
        <v>66</v>
      </c>
      <c r="B40" s="14" t="s">
        <v>383</v>
      </c>
      <c r="C40" s="14" t="s">
        <v>402</v>
      </c>
      <c r="D40" s="15" t="n">
        <v>1</v>
      </c>
      <c r="E40" s="15" t="s">
        <v>379</v>
      </c>
      <c r="F40" s="15" t="s">
        <v>394</v>
      </c>
      <c r="G40" s="14"/>
    </row>
    <row r="41" customFormat="false" ht="15" hidden="false" customHeight="false" outlineLevel="0" collapsed="false">
      <c r="A41" s="41" t="s">
        <v>66</v>
      </c>
      <c r="B41" s="14" t="s">
        <v>383</v>
      </c>
      <c r="C41" s="14" t="s">
        <v>403</v>
      </c>
      <c r="D41" s="15" t="n">
        <v>8</v>
      </c>
      <c r="E41" s="15" t="s">
        <v>379</v>
      </c>
      <c r="F41" s="15" t="s">
        <v>394</v>
      </c>
      <c r="G41" s="14"/>
    </row>
    <row r="42" customFormat="false" ht="15" hidden="false" customHeight="false" outlineLevel="0" collapsed="false">
      <c r="A42" s="41" t="s">
        <v>66</v>
      </c>
      <c r="B42" s="14" t="s">
        <v>404</v>
      </c>
      <c r="C42" s="14" t="s">
        <v>405</v>
      </c>
      <c r="D42" s="15" t="n">
        <v>1</v>
      </c>
      <c r="E42" s="15" t="s">
        <v>379</v>
      </c>
      <c r="F42" s="15" t="s">
        <v>394</v>
      </c>
      <c r="G42" s="14"/>
    </row>
    <row r="44" customFormat="false" ht="15" hidden="false" customHeight="false" outlineLevel="0" collapsed="false">
      <c r="A44" s="38" t="s">
        <v>73</v>
      </c>
      <c r="B44" s="9" t="s">
        <v>417</v>
      </c>
      <c r="C44" s="9"/>
      <c r="D44" s="9"/>
      <c r="E44" s="9"/>
      <c r="F44" s="9"/>
      <c r="G44" s="9"/>
    </row>
    <row r="45" customFormat="false" ht="30" hidden="false" customHeight="true" outlineLevel="0" collapsed="false">
      <c r="A45" s="39" t="s">
        <v>73</v>
      </c>
      <c r="B45" s="40" t="s">
        <v>418</v>
      </c>
      <c r="C45" s="40"/>
      <c r="D45" s="40"/>
      <c r="E45" s="40"/>
      <c r="F45" s="40"/>
      <c r="G45" s="40"/>
    </row>
    <row r="46" customFormat="false" ht="15" hidden="false" customHeight="false" outlineLevel="0" collapsed="false">
      <c r="A46" s="41" t="s">
        <v>73</v>
      </c>
      <c r="B46" s="14" t="s">
        <v>392</v>
      </c>
      <c r="C46" s="14" t="s">
        <v>393</v>
      </c>
      <c r="D46" s="15" t="n">
        <v>1</v>
      </c>
      <c r="E46" s="15" t="s">
        <v>379</v>
      </c>
      <c r="F46" s="15" t="s">
        <v>394</v>
      </c>
      <c r="G46" s="14" t="s">
        <v>395</v>
      </c>
    </row>
    <row r="47" customFormat="false" ht="15" hidden="false" customHeight="false" outlineLevel="0" collapsed="false">
      <c r="A47" s="41" t="s">
        <v>73</v>
      </c>
      <c r="B47" s="14" t="s">
        <v>419</v>
      </c>
      <c r="C47" s="14" t="s">
        <v>420</v>
      </c>
      <c r="D47" s="15" t="n">
        <v>1</v>
      </c>
      <c r="E47" s="15" t="s">
        <v>379</v>
      </c>
      <c r="F47" s="15" t="s">
        <v>394</v>
      </c>
      <c r="G47" s="14"/>
    </row>
    <row r="48" customFormat="false" ht="15" hidden="false" customHeight="false" outlineLevel="0" collapsed="false">
      <c r="A48" s="41" t="s">
        <v>73</v>
      </c>
      <c r="B48" s="14" t="s">
        <v>377</v>
      </c>
      <c r="C48" s="14" t="s">
        <v>378</v>
      </c>
      <c r="D48" s="15" t="n">
        <v>2</v>
      </c>
      <c r="E48" s="15" t="s">
        <v>379</v>
      </c>
      <c r="F48" s="15" t="s">
        <v>380</v>
      </c>
      <c r="G48" s="14"/>
    </row>
    <row r="49" customFormat="false" ht="15" hidden="false" customHeight="false" outlineLevel="0" collapsed="false">
      <c r="A49" s="41" t="s">
        <v>73</v>
      </c>
      <c r="B49" s="14" t="s">
        <v>398</v>
      </c>
      <c r="C49" s="14" t="s">
        <v>400</v>
      </c>
      <c r="D49" s="15" t="n">
        <v>2</v>
      </c>
      <c r="E49" s="15" t="s">
        <v>379</v>
      </c>
      <c r="F49" s="15" t="s">
        <v>380</v>
      </c>
      <c r="G49" s="14"/>
    </row>
    <row r="50" customFormat="false" ht="15" hidden="false" customHeight="false" outlineLevel="0" collapsed="false">
      <c r="A50" s="41" t="s">
        <v>73</v>
      </c>
      <c r="B50" s="14" t="s">
        <v>383</v>
      </c>
      <c r="C50" s="14" t="s">
        <v>402</v>
      </c>
      <c r="D50" s="15" t="n">
        <v>1</v>
      </c>
      <c r="E50" s="15" t="s">
        <v>379</v>
      </c>
      <c r="F50" s="15" t="s">
        <v>394</v>
      </c>
      <c r="G50" s="14"/>
    </row>
    <row r="51" customFormat="false" ht="15" hidden="false" customHeight="false" outlineLevel="0" collapsed="false">
      <c r="A51" s="41" t="s">
        <v>73</v>
      </c>
      <c r="B51" s="14" t="s">
        <v>383</v>
      </c>
      <c r="C51" s="14" t="s">
        <v>403</v>
      </c>
      <c r="D51" s="15" t="n">
        <v>4</v>
      </c>
      <c r="E51" s="15" t="s">
        <v>379</v>
      </c>
      <c r="F51" s="15" t="s">
        <v>394</v>
      </c>
      <c r="G51" s="14"/>
    </row>
    <row r="52" customFormat="false" ht="15" hidden="false" customHeight="false" outlineLevel="0" collapsed="false">
      <c r="A52" s="41" t="s">
        <v>73</v>
      </c>
      <c r="B52" s="14" t="s">
        <v>383</v>
      </c>
      <c r="C52" s="14" t="s">
        <v>421</v>
      </c>
      <c r="D52" s="15" t="n">
        <v>3</v>
      </c>
      <c r="E52" s="15" t="s">
        <v>379</v>
      </c>
      <c r="F52" s="15" t="s">
        <v>394</v>
      </c>
      <c r="G52" s="14"/>
    </row>
    <row r="53" customFormat="false" ht="15" hidden="false" customHeight="false" outlineLevel="0" collapsed="false">
      <c r="A53" s="41" t="s">
        <v>73</v>
      </c>
      <c r="B53" s="14" t="s">
        <v>404</v>
      </c>
      <c r="C53" s="14" t="s">
        <v>405</v>
      </c>
      <c r="D53" s="15" t="n">
        <v>1</v>
      </c>
      <c r="E53" s="15" t="s">
        <v>379</v>
      </c>
      <c r="F53" s="15" t="s">
        <v>394</v>
      </c>
      <c r="G53" s="14"/>
    </row>
    <row r="55" customFormat="false" ht="15" hidden="false" customHeight="false" outlineLevel="0" collapsed="false">
      <c r="A55" s="38" t="s">
        <v>79</v>
      </c>
      <c r="B55" s="9" t="s">
        <v>422</v>
      </c>
      <c r="C55" s="9"/>
      <c r="D55" s="9"/>
      <c r="E55" s="9"/>
      <c r="F55" s="9"/>
      <c r="G55" s="9"/>
    </row>
    <row r="56" customFormat="false" ht="30" hidden="false" customHeight="true" outlineLevel="0" collapsed="false">
      <c r="A56" s="39" t="s">
        <v>79</v>
      </c>
      <c r="B56" s="40" t="s">
        <v>423</v>
      </c>
      <c r="C56" s="40"/>
      <c r="D56" s="40"/>
      <c r="E56" s="40"/>
      <c r="F56" s="40"/>
      <c r="G56" s="40"/>
    </row>
    <row r="57" customFormat="false" ht="15" hidden="false" customHeight="false" outlineLevel="0" collapsed="false">
      <c r="A57" s="41" t="s">
        <v>79</v>
      </c>
      <c r="B57" s="14" t="s">
        <v>392</v>
      </c>
      <c r="C57" s="14" t="s">
        <v>393</v>
      </c>
      <c r="D57" s="15" t="n">
        <v>1</v>
      </c>
      <c r="E57" s="15" t="s">
        <v>379</v>
      </c>
      <c r="F57" s="15" t="s">
        <v>394</v>
      </c>
      <c r="G57" s="14" t="s">
        <v>395</v>
      </c>
    </row>
    <row r="58" customFormat="false" ht="15" hidden="false" customHeight="false" outlineLevel="0" collapsed="false">
      <c r="A58" s="41" t="s">
        <v>79</v>
      </c>
      <c r="B58" s="14" t="s">
        <v>419</v>
      </c>
      <c r="C58" s="14" t="s">
        <v>424</v>
      </c>
      <c r="D58" s="15" t="n">
        <v>1</v>
      </c>
      <c r="E58" s="15" t="s">
        <v>379</v>
      </c>
      <c r="F58" s="15" t="s">
        <v>394</v>
      </c>
      <c r="G58" s="14"/>
    </row>
    <row r="59" customFormat="false" ht="15" hidden="false" customHeight="false" outlineLevel="0" collapsed="false">
      <c r="A59" s="41" t="s">
        <v>79</v>
      </c>
      <c r="B59" s="14" t="s">
        <v>377</v>
      </c>
      <c r="C59" s="14" t="s">
        <v>378</v>
      </c>
      <c r="D59" s="15" t="n">
        <v>2</v>
      </c>
      <c r="E59" s="15" t="s">
        <v>379</v>
      </c>
      <c r="F59" s="15" t="s">
        <v>380</v>
      </c>
      <c r="G59" s="14" t="s">
        <v>425</v>
      </c>
    </row>
    <row r="60" customFormat="false" ht="15" hidden="false" customHeight="false" outlineLevel="0" collapsed="false">
      <c r="A60" s="41" t="s">
        <v>79</v>
      </c>
      <c r="B60" s="14" t="s">
        <v>398</v>
      </c>
      <c r="C60" s="14" t="s">
        <v>400</v>
      </c>
      <c r="D60" s="15" t="n">
        <v>2</v>
      </c>
      <c r="E60" s="15" t="s">
        <v>379</v>
      </c>
      <c r="F60" s="15" t="s">
        <v>380</v>
      </c>
      <c r="G60" s="14"/>
    </row>
    <row r="61" customFormat="false" ht="15" hidden="false" customHeight="false" outlineLevel="0" collapsed="false">
      <c r="A61" s="41" t="s">
        <v>79</v>
      </c>
      <c r="B61" s="14" t="s">
        <v>398</v>
      </c>
      <c r="C61" s="14" t="s">
        <v>401</v>
      </c>
      <c r="D61" s="15" t="n">
        <v>1</v>
      </c>
      <c r="E61" s="15" t="s">
        <v>379</v>
      </c>
      <c r="F61" s="15" t="s">
        <v>380</v>
      </c>
      <c r="G61" s="14"/>
    </row>
    <row r="62" customFormat="false" ht="15" hidden="false" customHeight="false" outlineLevel="0" collapsed="false">
      <c r="A62" s="41" t="s">
        <v>79</v>
      </c>
      <c r="B62" s="14" t="s">
        <v>383</v>
      </c>
      <c r="C62" s="14" t="s">
        <v>402</v>
      </c>
      <c r="D62" s="15" t="n">
        <v>1</v>
      </c>
      <c r="E62" s="15" t="s">
        <v>379</v>
      </c>
      <c r="F62" s="15" t="s">
        <v>394</v>
      </c>
      <c r="G62" s="14"/>
    </row>
    <row r="63" customFormat="false" ht="15" hidden="false" customHeight="false" outlineLevel="0" collapsed="false">
      <c r="A63" s="41" t="s">
        <v>79</v>
      </c>
      <c r="B63" s="14" t="s">
        <v>383</v>
      </c>
      <c r="C63" s="14" t="s">
        <v>403</v>
      </c>
      <c r="D63" s="15" t="n">
        <v>6</v>
      </c>
      <c r="E63" s="15" t="s">
        <v>379</v>
      </c>
      <c r="F63" s="15" t="s">
        <v>394</v>
      </c>
      <c r="G63" s="14"/>
    </row>
    <row r="64" customFormat="false" ht="15" hidden="false" customHeight="false" outlineLevel="0" collapsed="false">
      <c r="A64" s="41" t="s">
        <v>79</v>
      </c>
      <c r="B64" s="14" t="s">
        <v>404</v>
      </c>
      <c r="C64" s="14" t="s">
        <v>405</v>
      </c>
      <c r="D64" s="15" t="n">
        <v>1</v>
      </c>
      <c r="E64" s="15" t="s">
        <v>379</v>
      </c>
      <c r="F64" s="15" t="s">
        <v>394</v>
      </c>
      <c r="G64" s="14"/>
    </row>
    <row r="66" customFormat="false" ht="15" hidden="false" customHeight="false" outlineLevel="0" collapsed="false">
      <c r="A66" s="38" t="s">
        <v>84</v>
      </c>
      <c r="B66" s="9" t="s">
        <v>426</v>
      </c>
      <c r="C66" s="9"/>
      <c r="D66" s="9"/>
      <c r="E66" s="9"/>
      <c r="F66" s="9"/>
      <c r="G66" s="9"/>
    </row>
    <row r="67" customFormat="false" ht="30" hidden="false" customHeight="true" outlineLevel="0" collapsed="false">
      <c r="A67" s="39" t="s">
        <v>84</v>
      </c>
      <c r="B67" s="40" t="s">
        <v>427</v>
      </c>
      <c r="C67" s="40"/>
      <c r="D67" s="40"/>
      <c r="E67" s="40"/>
      <c r="F67" s="40"/>
      <c r="G67" s="40"/>
    </row>
    <row r="68" customFormat="false" ht="15" hidden="false" customHeight="false" outlineLevel="0" collapsed="false">
      <c r="A68" s="41" t="s">
        <v>84</v>
      </c>
      <c r="B68" s="14" t="s">
        <v>392</v>
      </c>
      <c r="C68" s="14" t="s">
        <v>393</v>
      </c>
      <c r="D68" s="15" t="n">
        <v>1</v>
      </c>
      <c r="E68" s="15" t="s">
        <v>379</v>
      </c>
      <c r="F68" s="15" t="s">
        <v>394</v>
      </c>
      <c r="G68" s="14" t="s">
        <v>395</v>
      </c>
    </row>
    <row r="69" customFormat="false" ht="15" hidden="false" customHeight="false" outlineLevel="0" collapsed="false">
      <c r="A69" s="41" t="s">
        <v>84</v>
      </c>
      <c r="B69" s="14" t="s">
        <v>419</v>
      </c>
      <c r="C69" s="14" t="s">
        <v>428</v>
      </c>
      <c r="D69" s="15" t="n">
        <v>1</v>
      </c>
      <c r="E69" s="15" t="s">
        <v>379</v>
      </c>
      <c r="F69" s="15" t="s">
        <v>394</v>
      </c>
      <c r="G69" s="14"/>
    </row>
    <row r="70" customFormat="false" ht="15" hidden="false" customHeight="false" outlineLevel="0" collapsed="false">
      <c r="A70" s="41" t="s">
        <v>84</v>
      </c>
      <c r="B70" s="14" t="s">
        <v>396</v>
      </c>
      <c r="C70" s="14" t="s">
        <v>397</v>
      </c>
      <c r="D70" s="15" t="n">
        <v>1</v>
      </c>
      <c r="E70" s="15" t="s">
        <v>379</v>
      </c>
      <c r="F70" s="15" t="s">
        <v>394</v>
      </c>
      <c r="G70" s="14"/>
    </row>
    <row r="71" customFormat="false" ht="15" hidden="false" customHeight="false" outlineLevel="0" collapsed="false">
      <c r="A71" s="41" t="s">
        <v>84</v>
      </c>
      <c r="B71" s="14" t="s">
        <v>377</v>
      </c>
      <c r="C71" s="14" t="s">
        <v>378</v>
      </c>
      <c r="D71" s="15" t="n">
        <v>1</v>
      </c>
      <c r="E71" s="15" t="s">
        <v>379</v>
      </c>
      <c r="F71" s="15" t="s">
        <v>380</v>
      </c>
      <c r="G71" s="14"/>
    </row>
    <row r="72" customFormat="false" ht="15" hidden="false" customHeight="false" outlineLevel="0" collapsed="false">
      <c r="A72" s="41" t="s">
        <v>84</v>
      </c>
      <c r="B72" s="14" t="s">
        <v>398</v>
      </c>
      <c r="C72" s="14" t="s">
        <v>400</v>
      </c>
      <c r="D72" s="15" t="n">
        <v>1</v>
      </c>
      <c r="E72" s="15" t="s">
        <v>379</v>
      </c>
      <c r="F72" s="15" t="s">
        <v>380</v>
      </c>
      <c r="G72" s="14"/>
    </row>
    <row r="73" customFormat="false" ht="15" hidden="false" customHeight="false" outlineLevel="0" collapsed="false">
      <c r="A73" s="41" t="s">
        <v>84</v>
      </c>
      <c r="B73" s="14" t="s">
        <v>383</v>
      </c>
      <c r="C73" s="14" t="s">
        <v>402</v>
      </c>
      <c r="D73" s="15" t="n">
        <v>1</v>
      </c>
      <c r="E73" s="15" t="s">
        <v>379</v>
      </c>
      <c r="F73" s="15" t="s">
        <v>394</v>
      </c>
      <c r="G73" s="14"/>
    </row>
    <row r="74" customFormat="false" ht="15" hidden="false" customHeight="false" outlineLevel="0" collapsed="false">
      <c r="A74" s="41" t="s">
        <v>84</v>
      </c>
      <c r="B74" s="14" t="s">
        <v>383</v>
      </c>
      <c r="C74" s="14" t="s">
        <v>403</v>
      </c>
      <c r="D74" s="15" t="n">
        <v>4</v>
      </c>
      <c r="E74" s="15" t="s">
        <v>379</v>
      </c>
      <c r="F74" s="15" t="s">
        <v>394</v>
      </c>
      <c r="G74" s="14"/>
    </row>
    <row r="75" customFormat="false" ht="15" hidden="false" customHeight="false" outlineLevel="0" collapsed="false">
      <c r="A75" s="41" t="s">
        <v>84</v>
      </c>
      <c r="B75" s="14" t="s">
        <v>383</v>
      </c>
      <c r="C75" s="14" t="s">
        <v>421</v>
      </c>
      <c r="D75" s="15" t="n">
        <v>3</v>
      </c>
      <c r="E75" s="15" t="s">
        <v>379</v>
      </c>
      <c r="F75" s="15" t="s">
        <v>394</v>
      </c>
      <c r="G75" s="14"/>
    </row>
    <row r="76" customFormat="false" ht="15" hidden="false" customHeight="false" outlineLevel="0" collapsed="false">
      <c r="A76" s="41" t="s">
        <v>84</v>
      </c>
      <c r="B76" s="14" t="s">
        <v>404</v>
      </c>
      <c r="C76" s="14" t="s">
        <v>405</v>
      </c>
      <c r="D76" s="15" t="n">
        <v>1</v>
      </c>
      <c r="E76" s="15" t="s">
        <v>379</v>
      </c>
      <c r="F76" s="15" t="s">
        <v>394</v>
      </c>
      <c r="G76" s="14"/>
    </row>
    <row r="77" customFormat="false" ht="15" hidden="false" customHeight="false" outlineLevel="0" collapsed="false">
      <c r="A77" s="41" t="s">
        <v>84</v>
      </c>
      <c r="B77" s="14" t="s">
        <v>386</v>
      </c>
      <c r="C77" s="14" t="s">
        <v>429</v>
      </c>
      <c r="D77" s="15" t="n">
        <v>1</v>
      </c>
      <c r="E77" s="15" t="s">
        <v>379</v>
      </c>
      <c r="F77" s="15" t="s">
        <v>380</v>
      </c>
      <c r="G77" s="14"/>
    </row>
    <row r="78" customFormat="false" ht="15" hidden="false" customHeight="false" outlineLevel="0" collapsed="false">
      <c r="A78" s="41" t="s">
        <v>84</v>
      </c>
      <c r="B78" s="14" t="s">
        <v>386</v>
      </c>
      <c r="C78" s="14" t="s">
        <v>430</v>
      </c>
      <c r="D78" s="15" t="n">
        <v>1</v>
      </c>
      <c r="E78" s="42" t="s">
        <v>20</v>
      </c>
      <c r="F78" s="15" t="s">
        <v>394</v>
      </c>
      <c r="G78" s="14"/>
    </row>
    <row r="80" customFormat="false" ht="15" hidden="false" customHeight="false" outlineLevel="0" collapsed="false">
      <c r="A80" s="38" t="s">
        <v>89</v>
      </c>
      <c r="B80" s="9" t="s">
        <v>431</v>
      </c>
      <c r="C80" s="9"/>
      <c r="D80" s="9"/>
      <c r="E80" s="9"/>
      <c r="F80" s="9"/>
      <c r="G80" s="9"/>
    </row>
    <row r="81" customFormat="false" ht="30" hidden="false" customHeight="true" outlineLevel="0" collapsed="false">
      <c r="A81" s="39" t="s">
        <v>89</v>
      </c>
      <c r="B81" s="40" t="s">
        <v>432</v>
      </c>
      <c r="C81" s="40"/>
      <c r="D81" s="40"/>
      <c r="E81" s="40"/>
      <c r="F81" s="40"/>
      <c r="G81" s="40"/>
    </row>
    <row r="82" customFormat="false" ht="15" hidden="false" customHeight="false" outlineLevel="0" collapsed="false">
      <c r="A82" s="41" t="s">
        <v>89</v>
      </c>
      <c r="B82" s="14" t="s">
        <v>392</v>
      </c>
      <c r="C82" s="14" t="s">
        <v>393</v>
      </c>
      <c r="D82" s="15" t="n">
        <v>1</v>
      </c>
      <c r="E82" s="15" t="s">
        <v>379</v>
      </c>
      <c r="F82" s="15" t="s">
        <v>394</v>
      </c>
      <c r="G82" s="14" t="s">
        <v>395</v>
      </c>
    </row>
    <row r="83" customFormat="false" ht="15" hidden="false" customHeight="false" outlineLevel="0" collapsed="false">
      <c r="A83" s="41" t="s">
        <v>89</v>
      </c>
      <c r="B83" s="14" t="s">
        <v>419</v>
      </c>
      <c r="C83" s="14" t="s">
        <v>433</v>
      </c>
      <c r="D83" s="15" t="n">
        <v>1</v>
      </c>
      <c r="E83" s="15" t="s">
        <v>379</v>
      </c>
      <c r="F83" s="15" t="s">
        <v>394</v>
      </c>
      <c r="G83" s="14"/>
    </row>
    <row r="84" customFormat="false" ht="15" hidden="false" customHeight="false" outlineLevel="0" collapsed="false">
      <c r="A84" s="41" t="s">
        <v>89</v>
      </c>
      <c r="B84" s="14" t="s">
        <v>396</v>
      </c>
      <c r="C84" s="14" t="s">
        <v>397</v>
      </c>
      <c r="D84" s="15" t="n">
        <v>1</v>
      </c>
      <c r="E84" s="15" t="s">
        <v>379</v>
      </c>
      <c r="F84" s="15" t="s">
        <v>394</v>
      </c>
      <c r="G84" s="14"/>
    </row>
    <row r="85" customFormat="false" ht="15" hidden="false" customHeight="false" outlineLevel="0" collapsed="false">
      <c r="A85" s="41" t="s">
        <v>89</v>
      </c>
      <c r="B85" s="14" t="s">
        <v>377</v>
      </c>
      <c r="C85" s="14" t="s">
        <v>378</v>
      </c>
      <c r="D85" s="15" t="n">
        <v>1</v>
      </c>
      <c r="E85" s="15" t="s">
        <v>379</v>
      </c>
      <c r="F85" s="15" t="s">
        <v>380</v>
      </c>
      <c r="G85" s="14"/>
    </row>
    <row r="86" customFormat="false" ht="15" hidden="false" customHeight="false" outlineLevel="0" collapsed="false">
      <c r="A86" s="41" t="s">
        <v>89</v>
      </c>
      <c r="B86" s="14" t="s">
        <v>398</v>
      </c>
      <c r="C86" s="14" t="s">
        <v>400</v>
      </c>
      <c r="D86" s="15" t="n">
        <v>1</v>
      </c>
      <c r="E86" s="15" t="s">
        <v>379</v>
      </c>
      <c r="F86" s="15" t="s">
        <v>380</v>
      </c>
      <c r="G86" s="14"/>
    </row>
    <row r="87" customFormat="false" ht="15" hidden="false" customHeight="false" outlineLevel="0" collapsed="false">
      <c r="A87" s="41" t="s">
        <v>89</v>
      </c>
      <c r="B87" s="14" t="s">
        <v>383</v>
      </c>
      <c r="C87" s="14" t="s">
        <v>402</v>
      </c>
      <c r="D87" s="15" t="n">
        <v>1</v>
      </c>
      <c r="E87" s="15" t="s">
        <v>379</v>
      </c>
      <c r="F87" s="15" t="s">
        <v>394</v>
      </c>
      <c r="G87" s="14"/>
    </row>
    <row r="88" customFormat="false" ht="15" hidden="false" customHeight="false" outlineLevel="0" collapsed="false">
      <c r="A88" s="41" t="s">
        <v>89</v>
      </c>
      <c r="B88" s="14" t="s">
        <v>383</v>
      </c>
      <c r="C88" s="14" t="s">
        <v>403</v>
      </c>
      <c r="D88" s="15" t="n">
        <v>4</v>
      </c>
      <c r="E88" s="15" t="s">
        <v>379</v>
      </c>
      <c r="F88" s="15" t="s">
        <v>394</v>
      </c>
      <c r="G88" s="14"/>
    </row>
    <row r="89" customFormat="false" ht="15" hidden="false" customHeight="false" outlineLevel="0" collapsed="false">
      <c r="A89" s="41" t="s">
        <v>89</v>
      </c>
      <c r="B89" s="14" t="s">
        <v>383</v>
      </c>
      <c r="C89" s="14" t="s">
        <v>421</v>
      </c>
      <c r="D89" s="15" t="n">
        <v>3</v>
      </c>
      <c r="E89" s="15" t="s">
        <v>379</v>
      </c>
      <c r="F89" s="15" t="s">
        <v>394</v>
      </c>
      <c r="G89" s="14"/>
    </row>
    <row r="90" customFormat="false" ht="15" hidden="false" customHeight="false" outlineLevel="0" collapsed="false">
      <c r="A90" s="41" t="s">
        <v>89</v>
      </c>
      <c r="B90" s="14" t="s">
        <v>404</v>
      </c>
      <c r="C90" s="14" t="s">
        <v>405</v>
      </c>
      <c r="D90" s="15" t="n">
        <v>1</v>
      </c>
      <c r="E90" s="15" t="s">
        <v>379</v>
      </c>
      <c r="F90" s="15" t="s">
        <v>394</v>
      </c>
      <c r="G90" s="14"/>
    </row>
    <row r="92" customFormat="false" ht="15" hidden="false" customHeight="false" outlineLevel="0" collapsed="false">
      <c r="A92" s="38" t="s">
        <v>96</v>
      </c>
      <c r="B92" s="9" t="s">
        <v>434</v>
      </c>
      <c r="C92" s="9"/>
      <c r="D92" s="9"/>
      <c r="E92" s="9"/>
      <c r="F92" s="9"/>
      <c r="G92" s="9"/>
    </row>
    <row r="93" customFormat="false" ht="30" hidden="false" customHeight="true" outlineLevel="0" collapsed="false">
      <c r="A93" s="39" t="s">
        <v>96</v>
      </c>
      <c r="B93" s="40" t="s">
        <v>435</v>
      </c>
      <c r="C93" s="40"/>
      <c r="D93" s="40"/>
      <c r="E93" s="40"/>
      <c r="F93" s="40"/>
      <c r="G93" s="40"/>
    </row>
    <row r="94" customFormat="false" ht="15" hidden="false" customHeight="false" outlineLevel="0" collapsed="false">
      <c r="A94" s="41" t="s">
        <v>96</v>
      </c>
      <c r="B94" s="14" t="s">
        <v>392</v>
      </c>
      <c r="C94" s="14" t="s">
        <v>393</v>
      </c>
      <c r="D94" s="15" t="n">
        <v>1</v>
      </c>
      <c r="E94" s="15" t="s">
        <v>379</v>
      </c>
      <c r="F94" s="15" t="s">
        <v>394</v>
      </c>
      <c r="G94" s="14" t="s">
        <v>395</v>
      </c>
    </row>
    <row r="95" customFormat="false" ht="15" hidden="false" customHeight="false" outlineLevel="0" collapsed="false">
      <c r="A95" s="41" t="s">
        <v>96</v>
      </c>
      <c r="B95" s="14" t="s">
        <v>396</v>
      </c>
      <c r="C95" s="14" t="s">
        <v>436</v>
      </c>
      <c r="D95" s="15" t="n">
        <v>1</v>
      </c>
      <c r="E95" s="15" t="s">
        <v>379</v>
      </c>
      <c r="F95" s="15" t="s">
        <v>394</v>
      </c>
      <c r="G95" s="14"/>
    </row>
    <row r="96" customFormat="false" ht="15" hidden="false" customHeight="false" outlineLevel="0" collapsed="false">
      <c r="A96" s="41" t="s">
        <v>96</v>
      </c>
      <c r="B96" s="14" t="s">
        <v>398</v>
      </c>
      <c r="C96" s="14" t="s">
        <v>399</v>
      </c>
      <c r="D96" s="15" t="n">
        <v>1</v>
      </c>
      <c r="E96" s="15" t="s">
        <v>379</v>
      </c>
      <c r="F96" s="15" t="s">
        <v>394</v>
      </c>
      <c r="G96" s="14"/>
    </row>
    <row r="97" customFormat="false" ht="15" hidden="false" customHeight="false" outlineLevel="0" collapsed="false">
      <c r="A97" s="41" t="s">
        <v>96</v>
      </c>
      <c r="B97" s="14" t="s">
        <v>398</v>
      </c>
      <c r="C97" s="14" t="s">
        <v>401</v>
      </c>
      <c r="D97" s="15" t="n">
        <v>1</v>
      </c>
      <c r="E97" s="15" t="s">
        <v>379</v>
      </c>
      <c r="F97" s="15" t="s">
        <v>380</v>
      </c>
      <c r="G97" s="14"/>
    </row>
    <row r="98" customFormat="false" ht="15" hidden="false" customHeight="false" outlineLevel="0" collapsed="false">
      <c r="A98" s="41" t="s">
        <v>96</v>
      </c>
      <c r="B98" s="14" t="s">
        <v>383</v>
      </c>
      <c r="C98" s="14" t="s">
        <v>402</v>
      </c>
      <c r="D98" s="15" t="n">
        <v>1</v>
      </c>
      <c r="E98" s="15" t="s">
        <v>379</v>
      </c>
      <c r="F98" s="15" t="s">
        <v>394</v>
      </c>
      <c r="G98" s="14"/>
    </row>
    <row r="99" customFormat="false" ht="15" hidden="false" customHeight="false" outlineLevel="0" collapsed="false">
      <c r="A99" s="41" t="s">
        <v>96</v>
      </c>
      <c r="B99" s="14" t="s">
        <v>383</v>
      </c>
      <c r="C99" s="14" t="s">
        <v>403</v>
      </c>
      <c r="D99" s="15" t="n">
        <v>6</v>
      </c>
      <c r="E99" s="15" t="s">
        <v>379</v>
      </c>
      <c r="F99" s="15" t="s">
        <v>394</v>
      </c>
      <c r="G99" s="14"/>
    </row>
    <row r="100" customFormat="false" ht="15" hidden="false" customHeight="false" outlineLevel="0" collapsed="false">
      <c r="A100" s="41" t="s">
        <v>96</v>
      </c>
      <c r="B100" s="14" t="s">
        <v>404</v>
      </c>
      <c r="C100" s="14" t="s">
        <v>405</v>
      </c>
      <c r="D100" s="15" t="n">
        <v>1</v>
      </c>
      <c r="E100" s="15" t="s">
        <v>379</v>
      </c>
      <c r="F100" s="15" t="s">
        <v>394</v>
      </c>
      <c r="G100" s="14"/>
    </row>
    <row r="101" customFormat="false" ht="15" hidden="false" customHeight="false" outlineLevel="0" collapsed="false">
      <c r="A101" s="41" t="s">
        <v>96</v>
      </c>
      <c r="B101" s="14" t="s">
        <v>386</v>
      </c>
      <c r="C101" s="14" t="s">
        <v>437</v>
      </c>
      <c r="D101" s="15" t="n">
        <v>1</v>
      </c>
      <c r="E101" s="15" t="s">
        <v>379</v>
      </c>
      <c r="F101" s="15" t="s">
        <v>380</v>
      </c>
      <c r="G101" s="14"/>
    </row>
    <row r="102" customFormat="false" ht="15" hidden="false" customHeight="false" outlineLevel="0" collapsed="false">
      <c r="A102" s="41" t="s">
        <v>96</v>
      </c>
      <c r="B102" s="14" t="s">
        <v>386</v>
      </c>
      <c r="C102" s="14" t="s">
        <v>388</v>
      </c>
      <c r="D102" s="15" t="n">
        <v>1</v>
      </c>
      <c r="E102" s="15" t="s">
        <v>379</v>
      </c>
      <c r="F102" s="15" t="s">
        <v>380</v>
      </c>
      <c r="G102" s="14"/>
    </row>
    <row r="103" customFormat="false" ht="15" hidden="false" customHeight="false" outlineLevel="0" collapsed="false">
      <c r="A103" s="41" t="s">
        <v>96</v>
      </c>
      <c r="B103" s="14" t="s">
        <v>386</v>
      </c>
      <c r="C103" s="14" t="s">
        <v>438</v>
      </c>
      <c r="D103" s="15" t="n">
        <v>2</v>
      </c>
      <c r="E103" s="15" t="s">
        <v>379</v>
      </c>
      <c r="F103" s="15" t="s">
        <v>380</v>
      </c>
      <c r="G103" s="14"/>
    </row>
    <row r="105" customFormat="false" ht="15" hidden="false" customHeight="false" outlineLevel="0" collapsed="false">
      <c r="A105" s="38" t="s">
        <v>102</v>
      </c>
      <c r="B105" s="9" t="s">
        <v>439</v>
      </c>
      <c r="C105" s="9"/>
      <c r="D105" s="9"/>
      <c r="E105" s="9"/>
      <c r="F105" s="9"/>
      <c r="G105" s="9"/>
    </row>
    <row r="106" customFormat="false" ht="30" hidden="false" customHeight="true" outlineLevel="0" collapsed="false">
      <c r="A106" s="39" t="s">
        <v>102</v>
      </c>
      <c r="B106" s="40" t="s">
        <v>440</v>
      </c>
      <c r="C106" s="40"/>
      <c r="D106" s="40"/>
      <c r="E106" s="40"/>
      <c r="F106" s="40"/>
      <c r="G106" s="40"/>
    </row>
    <row r="107" customFormat="false" ht="15" hidden="false" customHeight="false" outlineLevel="0" collapsed="false">
      <c r="A107" s="41" t="s">
        <v>102</v>
      </c>
      <c r="B107" s="14" t="s">
        <v>392</v>
      </c>
      <c r="C107" s="14" t="s">
        <v>393</v>
      </c>
      <c r="D107" s="15" t="n">
        <v>1</v>
      </c>
      <c r="E107" s="15" t="s">
        <v>379</v>
      </c>
      <c r="F107" s="15" t="s">
        <v>394</v>
      </c>
      <c r="G107" s="14" t="s">
        <v>395</v>
      </c>
    </row>
    <row r="108" customFormat="false" ht="15" hidden="false" customHeight="false" outlineLevel="0" collapsed="false">
      <c r="A108" s="41" t="s">
        <v>102</v>
      </c>
      <c r="B108" s="14" t="s">
        <v>419</v>
      </c>
      <c r="C108" s="14" t="s">
        <v>441</v>
      </c>
      <c r="D108" s="15" t="n">
        <v>1</v>
      </c>
      <c r="E108" s="15" t="s">
        <v>379</v>
      </c>
      <c r="F108" s="15" t="s">
        <v>394</v>
      </c>
      <c r="G108" s="14"/>
    </row>
    <row r="109" customFormat="false" ht="15" hidden="false" customHeight="false" outlineLevel="0" collapsed="false">
      <c r="A109" s="41" t="s">
        <v>102</v>
      </c>
      <c r="B109" s="14" t="s">
        <v>396</v>
      </c>
      <c r="C109" s="14" t="s">
        <v>436</v>
      </c>
      <c r="D109" s="15" t="n">
        <v>1</v>
      </c>
      <c r="E109" s="15" t="s">
        <v>379</v>
      </c>
      <c r="F109" s="15" t="s">
        <v>394</v>
      </c>
      <c r="G109" s="14"/>
    </row>
    <row r="110" customFormat="false" ht="15" hidden="false" customHeight="false" outlineLevel="0" collapsed="false">
      <c r="A110" s="41" t="s">
        <v>102</v>
      </c>
      <c r="B110" s="14" t="s">
        <v>396</v>
      </c>
      <c r="C110" s="14" t="s">
        <v>397</v>
      </c>
      <c r="D110" s="15" t="n">
        <v>1</v>
      </c>
      <c r="E110" s="15" t="s">
        <v>379</v>
      </c>
      <c r="F110" s="15" t="s">
        <v>394</v>
      </c>
      <c r="G110" s="14"/>
    </row>
    <row r="111" customFormat="false" ht="15" hidden="false" customHeight="false" outlineLevel="0" collapsed="false">
      <c r="A111" s="41" t="s">
        <v>102</v>
      </c>
      <c r="B111" s="14" t="s">
        <v>377</v>
      </c>
      <c r="C111" s="14" t="s">
        <v>378</v>
      </c>
      <c r="D111" s="15" t="n">
        <v>2</v>
      </c>
      <c r="E111" s="15" t="s">
        <v>379</v>
      </c>
      <c r="F111" s="15" t="s">
        <v>380</v>
      </c>
      <c r="G111" s="14" t="s">
        <v>442</v>
      </c>
    </row>
    <row r="112" customFormat="false" ht="15" hidden="false" customHeight="false" outlineLevel="0" collapsed="false">
      <c r="A112" s="41" t="s">
        <v>102</v>
      </c>
      <c r="B112" s="14" t="s">
        <v>398</v>
      </c>
      <c r="C112" s="14" t="s">
        <v>400</v>
      </c>
      <c r="D112" s="15" t="n">
        <v>2</v>
      </c>
      <c r="E112" s="15" t="s">
        <v>379</v>
      </c>
      <c r="F112" s="15" t="s">
        <v>380</v>
      </c>
      <c r="G112" s="14"/>
    </row>
    <row r="113" customFormat="false" ht="15" hidden="false" customHeight="false" outlineLevel="0" collapsed="false">
      <c r="A113" s="41" t="s">
        <v>102</v>
      </c>
      <c r="B113" s="14" t="s">
        <v>383</v>
      </c>
      <c r="C113" s="14" t="s">
        <v>402</v>
      </c>
      <c r="D113" s="15" t="n">
        <v>1</v>
      </c>
      <c r="E113" s="15" t="s">
        <v>379</v>
      </c>
      <c r="F113" s="15" t="s">
        <v>394</v>
      </c>
      <c r="G113" s="14"/>
    </row>
    <row r="114" customFormat="false" ht="15" hidden="false" customHeight="false" outlineLevel="0" collapsed="false">
      <c r="A114" s="41" t="s">
        <v>102</v>
      </c>
      <c r="B114" s="14" t="s">
        <v>383</v>
      </c>
      <c r="C114" s="14" t="s">
        <v>403</v>
      </c>
      <c r="D114" s="15" t="n">
        <v>8</v>
      </c>
      <c r="E114" s="15" t="s">
        <v>379</v>
      </c>
      <c r="F114" s="15" t="s">
        <v>394</v>
      </c>
      <c r="G114" s="14"/>
    </row>
    <row r="115" customFormat="false" ht="15" hidden="false" customHeight="false" outlineLevel="0" collapsed="false">
      <c r="A115" s="41" t="s">
        <v>102</v>
      </c>
      <c r="B115" s="14" t="s">
        <v>383</v>
      </c>
      <c r="C115" s="14" t="s">
        <v>421</v>
      </c>
      <c r="D115" s="15" t="n">
        <v>4</v>
      </c>
      <c r="E115" s="15" t="s">
        <v>379</v>
      </c>
      <c r="F115" s="15" t="s">
        <v>394</v>
      </c>
      <c r="G115" s="14"/>
    </row>
    <row r="116" customFormat="false" ht="15" hidden="false" customHeight="false" outlineLevel="0" collapsed="false">
      <c r="A116" s="41" t="s">
        <v>102</v>
      </c>
      <c r="B116" s="14" t="s">
        <v>404</v>
      </c>
      <c r="C116" s="14" t="s">
        <v>405</v>
      </c>
      <c r="D116" s="15" t="n">
        <v>1</v>
      </c>
      <c r="E116" s="15" t="s">
        <v>379</v>
      </c>
      <c r="F116" s="15" t="s">
        <v>394</v>
      </c>
      <c r="G116" s="14"/>
    </row>
    <row r="117" customFormat="false" ht="15" hidden="false" customHeight="false" outlineLevel="0" collapsed="false">
      <c r="A117" s="41" t="s">
        <v>102</v>
      </c>
      <c r="B117" s="14" t="s">
        <v>386</v>
      </c>
      <c r="C117" s="14" t="s">
        <v>443</v>
      </c>
      <c r="D117" s="15" t="n">
        <v>2</v>
      </c>
      <c r="E117" s="15" t="s">
        <v>379</v>
      </c>
      <c r="F117" s="15" t="s">
        <v>380</v>
      </c>
      <c r="G117" s="14" t="s">
        <v>444</v>
      </c>
    </row>
    <row r="119" customFormat="false" ht="15" hidden="false" customHeight="false" outlineLevel="0" collapsed="false">
      <c r="A119" s="38" t="s">
        <v>107</v>
      </c>
      <c r="B119" s="9" t="s">
        <v>445</v>
      </c>
      <c r="C119" s="9"/>
      <c r="D119" s="9"/>
      <c r="E119" s="9"/>
      <c r="F119" s="9"/>
      <c r="G119" s="9"/>
    </row>
    <row r="120" customFormat="false" ht="30" hidden="false" customHeight="true" outlineLevel="0" collapsed="false">
      <c r="A120" s="39" t="s">
        <v>107</v>
      </c>
      <c r="B120" s="40" t="s">
        <v>446</v>
      </c>
      <c r="C120" s="40"/>
      <c r="D120" s="40"/>
      <c r="E120" s="40"/>
      <c r="F120" s="40"/>
      <c r="G120" s="40"/>
    </row>
    <row r="121" customFormat="false" ht="15" hidden="false" customHeight="false" outlineLevel="0" collapsed="false">
      <c r="A121" s="41" t="s">
        <v>107</v>
      </c>
      <c r="B121" s="14" t="s">
        <v>447</v>
      </c>
      <c r="C121" s="14" t="s">
        <v>448</v>
      </c>
      <c r="D121" s="15" t="n">
        <v>1</v>
      </c>
      <c r="E121" s="15" t="s">
        <v>379</v>
      </c>
      <c r="F121" s="15" t="s">
        <v>380</v>
      </c>
      <c r="G121" s="14"/>
    </row>
    <row r="122" customFormat="false" ht="15" hidden="false" customHeight="false" outlineLevel="0" collapsed="false">
      <c r="A122" s="41" t="s">
        <v>107</v>
      </c>
      <c r="B122" s="14" t="s">
        <v>381</v>
      </c>
      <c r="C122" s="14" t="s">
        <v>382</v>
      </c>
      <c r="D122" s="15" t="n">
        <v>1</v>
      </c>
      <c r="E122" s="15" t="s">
        <v>379</v>
      </c>
      <c r="F122" s="15" t="s">
        <v>380</v>
      </c>
      <c r="G122" s="14"/>
    </row>
    <row r="123" customFormat="false" ht="15" hidden="false" customHeight="false" outlineLevel="0" collapsed="false">
      <c r="A123" s="41" t="s">
        <v>107</v>
      </c>
      <c r="B123" s="14" t="s">
        <v>386</v>
      </c>
      <c r="C123" s="14" t="s">
        <v>438</v>
      </c>
      <c r="D123" s="15" t="n">
        <v>2</v>
      </c>
      <c r="E123" s="15" t="s">
        <v>379</v>
      </c>
      <c r="F123" s="15" t="s">
        <v>380</v>
      </c>
      <c r="G123" s="14"/>
    </row>
    <row r="124" customFormat="false" ht="15" hidden="false" customHeight="false" outlineLevel="0" collapsed="false">
      <c r="A124" s="41" t="s">
        <v>107</v>
      </c>
      <c r="B124" s="14" t="s">
        <v>386</v>
      </c>
      <c r="C124" s="14" t="s">
        <v>389</v>
      </c>
      <c r="D124" s="15" t="n">
        <v>1</v>
      </c>
      <c r="E124" s="42" t="s">
        <v>20</v>
      </c>
      <c r="F124" s="15" t="s">
        <v>380</v>
      </c>
      <c r="G124" s="14"/>
    </row>
    <row r="126" customFormat="false" ht="15" hidden="false" customHeight="false" outlineLevel="0" collapsed="false">
      <c r="A126" s="38" t="s">
        <v>112</v>
      </c>
      <c r="B126" s="9" t="s">
        <v>449</v>
      </c>
      <c r="C126" s="9"/>
      <c r="D126" s="9"/>
      <c r="E126" s="9"/>
      <c r="F126" s="9"/>
      <c r="G126" s="9"/>
    </row>
    <row r="127" customFormat="false" ht="30" hidden="false" customHeight="true" outlineLevel="0" collapsed="false">
      <c r="A127" s="39" t="s">
        <v>112</v>
      </c>
      <c r="B127" s="40" t="s">
        <v>450</v>
      </c>
      <c r="C127" s="40"/>
      <c r="D127" s="40"/>
      <c r="E127" s="40"/>
      <c r="F127" s="40"/>
      <c r="G127" s="40"/>
    </row>
    <row r="128" customFormat="false" ht="15" hidden="false" customHeight="false" outlineLevel="0" collapsed="false">
      <c r="A128" s="41" t="s">
        <v>112</v>
      </c>
      <c r="B128" s="14" t="s">
        <v>392</v>
      </c>
      <c r="C128" s="14" t="s">
        <v>393</v>
      </c>
      <c r="D128" s="15" t="n">
        <v>1</v>
      </c>
      <c r="E128" s="15" t="s">
        <v>379</v>
      </c>
      <c r="F128" s="15" t="s">
        <v>394</v>
      </c>
      <c r="G128" s="14" t="s">
        <v>395</v>
      </c>
    </row>
    <row r="129" customFormat="false" ht="15" hidden="false" customHeight="false" outlineLevel="0" collapsed="false">
      <c r="A129" s="41" t="s">
        <v>112</v>
      </c>
      <c r="B129" s="14" t="s">
        <v>396</v>
      </c>
      <c r="C129" s="14" t="s">
        <v>397</v>
      </c>
      <c r="D129" s="15" t="n">
        <v>1</v>
      </c>
      <c r="E129" s="15" t="s">
        <v>379</v>
      </c>
      <c r="F129" s="15" t="s">
        <v>394</v>
      </c>
      <c r="G129" s="14"/>
    </row>
    <row r="130" customFormat="false" ht="15" hidden="false" customHeight="false" outlineLevel="0" collapsed="false">
      <c r="A130" s="41" t="s">
        <v>112</v>
      </c>
      <c r="B130" s="14" t="s">
        <v>377</v>
      </c>
      <c r="C130" s="14" t="s">
        <v>378</v>
      </c>
      <c r="D130" s="15" t="n">
        <v>1</v>
      </c>
      <c r="E130" s="15" t="s">
        <v>379</v>
      </c>
      <c r="F130" s="15" t="s">
        <v>380</v>
      </c>
      <c r="G130" s="14"/>
    </row>
    <row r="131" customFormat="false" ht="15" hidden="false" customHeight="false" outlineLevel="0" collapsed="false">
      <c r="A131" s="41" t="s">
        <v>112</v>
      </c>
      <c r="B131" s="14" t="s">
        <v>398</v>
      </c>
      <c r="C131" s="14" t="s">
        <v>399</v>
      </c>
      <c r="D131" s="15" t="n">
        <v>1</v>
      </c>
      <c r="E131" s="15" t="s">
        <v>379</v>
      </c>
      <c r="F131" s="15" t="s">
        <v>394</v>
      </c>
      <c r="G131" s="14"/>
    </row>
    <row r="132" customFormat="false" ht="15" hidden="false" customHeight="false" outlineLevel="0" collapsed="false">
      <c r="A132" s="41" t="s">
        <v>112</v>
      </c>
      <c r="B132" s="14" t="s">
        <v>398</v>
      </c>
      <c r="C132" s="14" t="s">
        <v>400</v>
      </c>
      <c r="D132" s="15" t="n">
        <v>1</v>
      </c>
      <c r="E132" s="15" t="s">
        <v>379</v>
      </c>
      <c r="F132" s="15" t="s">
        <v>380</v>
      </c>
      <c r="G132" s="14"/>
    </row>
    <row r="133" customFormat="false" ht="15" hidden="false" customHeight="false" outlineLevel="0" collapsed="false">
      <c r="A133" s="41" t="s">
        <v>112</v>
      </c>
      <c r="B133" s="14" t="s">
        <v>398</v>
      </c>
      <c r="C133" s="14" t="s">
        <v>401</v>
      </c>
      <c r="D133" s="15" t="n">
        <v>1</v>
      </c>
      <c r="E133" s="15" t="s">
        <v>379</v>
      </c>
      <c r="F133" s="15" t="s">
        <v>380</v>
      </c>
      <c r="G133" s="14"/>
    </row>
    <row r="134" customFormat="false" ht="15" hidden="false" customHeight="false" outlineLevel="0" collapsed="false">
      <c r="A134" s="41" t="s">
        <v>112</v>
      </c>
      <c r="B134" s="14" t="s">
        <v>383</v>
      </c>
      <c r="C134" s="14" t="s">
        <v>402</v>
      </c>
      <c r="D134" s="15" t="n">
        <v>1</v>
      </c>
      <c r="E134" s="15" t="s">
        <v>379</v>
      </c>
      <c r="F134" s="15" t="s">
        <v>394</v>
      </c>
      <c r="G134" s="14"/>
    </row>
    <row r="135" customFormat="false" ht="15" hidden="false" customHeight="false" outlineLevel="0" collapsed="false">
      <c r="A135" s="41" t="s">
        <v>112</v>
      </c>
      <c r="B135" s="14" t="s">
        <v>383</v>
      </c>
      <c r="C135" s="14" t="s">
        <v>403</v>
      </c>
      <c r="D135" s="15" t="n">
        <v>6</v>
      </c>
      <c r="E135" s="15" t="s">
        <v>379</v>
      </c>
      <c r="F135" s="15" t="s">
        <v>394</v>
      </c>
      <c r="G135" s="14"/>
    </row>
    <row r="136" customFormat="false" ht="15" hidden="false" customHeight="false" outlineLevel="0" collapsed="false">
      <c r="A136" s="41" t="s">
        <v>112</v>
      </c>
      <c r="B136" s="14" t="s">
        <v>404</v>
      </c>
      <c r="C136" s="14" t="s">
        <v>405</v>
      </c>
      <c r="D136" s="15" t="n">
        <v>1</v>
      </c>
      <c r="E136" s="15" t="s">
        <v>379</v>
      </c>
      <c r="F136" s="15" t="s">
        <v>394</v>
      </c>
      <c r="G136" s="14"/>
    </row>
    <row r="137" customFormat="false" ht="15" hidden="false" customHeight="false" outlineLevel="0" collapsed="false">
      <c r="A137" s="41" t="s">
        <v>112</v>
      </c>
      <c r="B137" s="14" t="s">
        <v>386</v>
      </c>
      <c r="C137" s="14" t="s">
        <v>451</v>
      </c>
      <c r="D137" s="15" t="n">
        <v>1</v>
      </c>
      <c r="E137" s="15" t="s">
        <v>379</v>
      </c>
      <c r="F137" s="15" t="s">
        <v>380</v>
      </c>
      <c r="G137" s="14" t="s">
        <v>452</v>
      </c>
    </row>
    <row r="139" customFormat="false" ht="15" hidden="false" customHeight="false" outlineLevel="0" collapsed="false">
      <c r="A139" s="38" t="s">
        <v>119</v>
      </c>
      <c r="B139" s="9" t="s">
        <v>453</v>
      </c>
      <c r="C139" s="9"/>
      <c r="D139" s="9"/>
      <c r="E139" s="9"/>
      <c r="F139" s="9"/>
      <c r="G139" s="9"/>
    </row>
    <row r="140" customFormat="false" ht="30" hidden="false" customHeight="true" outlineLevel="0" collapsed="false">
      <c r="A140" s="39" t="s">
        <v>119</v>
      </c>
      <c r="B140" s="40" t="s">
        <v>454</v>
      </c>
      <c r="C140" s="40"/>
      <c r="D140" s="40"/>
      <c r="E140" s="40"/>
      <c r="F140" s="40"/>
      <c r="G140" s="40"/>
    </row>
    <row r="141" customFormat="false" ht="15" hidden="false" customHeight="false" outlineLevel="0" collapsed="false">
      <c r="A141" s="41" t="s">
        <v>119</v>
      </c>
      <c r="B141" s="14" t="s">
        <v>392</v>
      </c>
      <c r="C141" s="14" t="s">
        <v>455</v>
      </c>
      <c r="D141" s="15" t="n">
        <v>1</v>
      </c>
      <c r="E141" s="15" t="s">
        <v>379</v>
      </c>
      <c r="F141" s="15" t="s">
        <v>394</v>
      </c>
      <c r="G141" s="14"/>
    </row>
    <row r="142" customFormat="false" ht="15" hidden="false" customHeight="false" outlineLevel="0" collapsed="false">
      <c r="A142" s="41" t="s">
        <v>119</v>
      </c>
      <c r="B142" s="14" t="s">
        <v>383</v>
      </c>
      <c r="C142" s="14" t="s">
        <v>456</v>
      </c>
      <c r="D142" s="15" t="n">
        <v>1</v>
      </c>
      <c r="E142" s="42" t="s">
        <v>20</v>
      </c>
      <c r="F142" s="15" t="s">
        <v>380</v>
      </c>
      <c r="G142" s="14"/>
    </row>
    <row r="143" customFormat="false" ht="15" hidden="false" customHeight="false" outlineLevel="0" collapsed="false">
      <c r="A143" s="41" t="s">
        <v>119</v>
      </c>
      <c r="B143" s="14" t="s">
        <v>404</v>
      </c>
      <c r="C143" s="14" t="s">
        <v>405</v>
      </c>
      <c r="D143" s="15" t="n">
        <v>1</v>
      </c>
      <c r="E143" s="15" t="s">
        <v>379</v>
      </c>
      <c r="F143" s="15" t="s">
        <v>394</v>
      </c>
      <c r="G143" s="14"/>
    </row>
    <row r="144" customFormat="false" ht="15" hidden="false" customHeight="false" outlineLevel="0" collapsed="false">
      <c r="A144" s="41" t="s">
        <v>119</v>
      </c>
      <c r="B144" s="14" t="s">
        <v>410</v>
      </c>
      <c r="C144" s="14" t="s">
        <v>457</v>
      </c>
      <c r="D144" s="15" t="n">
        <v>4</v>
      </c>
      <c r="E144" s="15" t="s">
        <v>379</v>
      </c>
      <c r="F144" s="15" t="s">
        <v>380</v>
      </c>
      <c r="G144" s="14"/>
    </row>
    <row r="146" customFormat="false" ht="15" hidden="false" customHeight="false" outlineLevel="0" collapsed="false">
      <c r="A146" s="38" t="s">
        <v>126</v>
      </c>
      <c r="B146" s="9" t="s">
        <v>458</v>
      </c>
      <c r="C146" s="9"/>
      <c r="D146" s="9"/>
      <c r="E146" s="9"/>
      <c r="F146" s="9"/>
      <c r="G146" s="9"/>
    </row>
    <row r="147" customFormat="false" ht="30" hidden="false" customHeight="true" outlineLevel="0" collapsed="false">
      <c r="A147" s="39" t="s">
        <v>126</v>
      </c>
      <c r="B147" s="40" t="s">
        <v>459</v>
      </c>
      <c r="C147" s="40"/>
      <c r="D147" s="40"/>
      <c r="E147" s="40"/>
      <c r="F147" s="40"/>
      <c r="G147" s="40"/>
    </row>
    <row r="148" customFormat="false" ht="15" hidden="false" customHeight="false" outlineLevel="0" collapsed="false">
      <c r="A148" s="41" t="s">
        <v>126</v>
      </c>
      <c r="B148" s="14" t="s">
        <v>404</v>
      </c>
      <c r="C148" s="14" t="s">
        <v>460</v>
      </c>
      <c r="D148" s="15" t="n">
        <v>1</v>
      </c>
      <c r="E148" s="15" t="s">
        <v>379</v>
      </c>
      <c r="F148" s="15" t="s">
        <v>394</v>
      </c>
      <c r="G148" s="14" t="s">
        <v>461</v>
      </c>
    </row>
    <row r="149" customFormat="false" ht="15" hidden="false" customHeight="false" outlineLevel="0" collapsed="false">
      <c r="A149" s="41" t="s">
        <v>126</v>
      </c>
      <c r="B149" s="14" t="s">
        <v>386</v>
      </c>
      <c r="C149" s="14" t="s">
        <v>451</v>
      </c>
      <c r="D149" s="15" t="n">
        <v>2</v>
      </c>
      <c r="E149" s="15" t="s">
        <v>379</v>
      </c>
      <c r="F149" s="15" t="s">
        <v>380</v>
      </c>
      <c r="G149" s="14" t="s">
        <v>462</v>
      </c>
    </row>
    <row r="151" customFormat="false" ht="15" hidden="false" customHeight="false" outlineLevel="0" collapsed="false">
      <c r="A151" s="38" t="s">
        <v>134</v>
      </c>
      <c r="B151" s="9" t="s">
        <v>463</v>
      </c>
      <c r="C151" s="9"/>
      <c r="D151" s="9"/>
      <c r="E151" s="9"/>
      <c r="F151" s="9"/>
      <c r="G151" s="9"/>
    </row>
    <row r="152" customFormat="false" ht="30" hidden="false" customHeight="true" outlineLevel="0" collapsed="false">
      <c r="A152" s="39" t="s">
        <v>134</v>
      </c>
      <c r="B152" s="40" t="s">
        <v>464</v>
      </c>
      <c r="C152" s="40"/>
      <c r="D152" s="40"/>
      <c r="E152" s="40"/>
      <c r="F152" s="40"/>
      <c r="G152" s="40"/>
    </row>
    <row r="153" customFormat="false" ht="15" hidden="false" customHeight="false" outlineLevel="0" collapsed="false">
      <c r="A153" s="41" t="s">
        <v>134</v>
      </c>
      <c r="B153" s="14" t="s">
        <v>392</v>
      </c>
      <c r="C153" s="14" t="s">
        <v>455</v>
      </c>
      <c r="D153" s="15" t="n">
        <v>1</v>
      </c>
      <c r="E153" s="15" t="s">
        <v>379</v>
      </c>
      <c r="F153" s="15" t="s">
        <v>394</v>
      </c>
      <c r="G153" s="14"/>
    </row>
    <row r="154" customFormat="false" ht="15" hidden="false" customHeight="false" outlineLevel="0" collapsed="false">
      <c r="A154" s="41" t="s">
        <v>134</v>
      </c>
      <c r="B154" s="14" t="s">
        <v>404</v>
      </c>
      <c r="C154" s="14" t="s">
        <v>405</v>
      </c>
      <c r="D154" s="15" t="n">
        <v>1</v>
      </c>
      <c r="E154" s="15" t="s">
        <v>379</v>
      </c>
      <c r="F154" s="15" t="s">
        <v>394</v>
      </c>
      <c r="G154" s="14"/>
    </row>
    <row r="155" customFormat="false" ht="15" hidden="false" customHeight="false" outlineLevel="0" collapsed="false">
      <c r="A155" s="41" t="s">
        <v>134</v>
      </c>
      <c r="B155" s="14" t="s">
        <v>386</v>
      </c>
      <c r="C155" s="14" t="s">
        <v>465</v>
      </c>
      <c r="D155" s="15" t="n">
        <v>1</v>
      </c>
      <c r="E155" s="15" t="s">
        <v>379</v>
      </c>
      <c r="F155" s="15" t="s">
        <v>380</v>
      </c>
      <c r="G155" s="14"/>
    </row>
    <row r="157" customFormat="false" ht="15" hidden="false" customHeight="false" outlineLevel="0" collapsed="false">
      <c r="A157" s="38" t="s">
        <v>139</v>
      </c>
      <c r="B157" s="9" t="s">
        <v>466</v>
      </c>
      <c r="C157" s="9"/>
      <c r="D157" s="9"/>
      <c r="E157" s="9"/>
      <c r="F157" s="9"/>
      <c r="G157" s="9"/>
    </row>
    <row r="158" customFormat="false" ht="30" hidden="false" customHeight="true" outlineLevel="0" collapsed="false">
      <c r="A158" s="39" t="s">
        <v>139</v>
      </c>
      <c r="B158" s="40" t="s">
        <v>467</v>
      </c>
      <c r="C158" s="40"/>
      <c r="D158" s="40"/>
      <c r="E158" s="40"/>
      <c r="F158" s="40"/>
      <c r="G158" s="40"/>
    </row>
    <row r="159" customFormat="false" ht="15" hidden="false" customHeight="false" outlineLevel="0" collapsed="false">
      <c r="A159" s="41" t="s">
        <v>139</v>
      </c>
      <c r="B159" s="14" t="s">
        <v>386</v>
      </c>
      <c r="C159" s="14" t="s">
        <v>451</v>
      </c>
      <c r="D159" s="15" t="n">
        <v>20</v>
      </c>
      <c r="E159" s="15" t="s">
        <v>379</v>
      </c>
      <c r="F159" s="15" t="s">
        <v>380</v>
      </c>
      <c r="G159" s="14" t="s">
        <v>468</v>
      </c>
    </row>
    <row r="160" customFormat="false" ht="15" hidden="false" customHeight="false" outlineLevel="0" collapsed="false">
      <c r="A160" s="41" t="s">
        <v>139</v>
      </c>
      <c r="B160" s="14" t="s">
        <v>386</v>
      </c>
      <c r="C160" s="14" t="s">
        <v>387</v>
      </c>
      <c r="D160" s="15" t="n">
        <v>1</v>
      </c>
      <c r="E160" s="15" t="s">
        <v>379</v>
      </c>
      <c r="F160" s="15" t="s">
        <v>380</v>
      </c>
      <c r="G160" s="14" t="s">
        <v>469</v>
      </c>
    </row>
    <row r="161" customFormat="false" ht="15" hidden="false" customHeight="false" outlineLevel="0" collapsed="false">
      <c r="A161" s="41" t="s">
        <v>139</v>
      </c>
      <c r="B161" s="14" t="s">
        <v>386</v>
      </c>
      <c r="C161" s="14" t="s">
        <v>388</v>
      </c>
      <c r="D161" s="15" t="n">
        <v>1</v>
      </c>
      <c r="E161" s="15" t="s">
        <v>379</v>
      </c>
      <c r="F161" s="15" t="s">
        <v>380</v>
      </c>
      <c r="G161" s="14"/>
    </row>
  </sheetData>
  <autoFilter ref="A4:G163"/>
  <mergeCells count="32">
    <mergeCell ref="B5:G5"/>
    <mergeCell ref="B6:G6"/>
    <mergeCell ref="B14:G14"/>
    <mergeCell ref="B15:G15"/>
    <mergeCell ref="B26:G26"/>
    <mergeCell ref="B27:G27"/>
    <mergeCell ref="B34:G34"/>
    <mergeCell ref="B35:G35"/>
    <mergeCell ref="B44:G44"/>
    <mergeCell ref="B45:G45"/>
    <mergeCell ref="B55:G55"/>
    <mergeCell ref="B56:G56"/>
    <mergeCell ref="B66:G66"/>
    <mergeCell ref="B67:G67"/>
    <mergeCell ref="B80:G80"/>
    <mergeCell ref="B81:G81"/>
    <mergeCell ref="B92:G92"/>
    <mergeCell ref="B93:G93"/>
    <mergeCell ref="B105:G105"/>
    <mergeCell ref="B106:G106"/>
    <mergeCell ref="B119:G119"/>
    <mergeCell ref="B120:G120"/>
    <mergeCell ref="B126:G126"/>
    <mergeCell ref="B127:G127"/>
    <mergeCell ref="B139:G139"/>
    <mergeCell ref="B140:G140"/>
    <mergeCell ref="B146:G146"/>
    <mergeCell ref="B147:G147"/>
    <mergeCell ref="B151:G151"/>
    <mergeCell ref="B152:G152"/>
    <mergeCell ref="B157:G157"/>
    <mergeCell ref="B158:G1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D1"/>
    <pageSetUpPr fitToPage="true"/>
  </sheetPr>
  <dimension ref="A1:G1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4" min="4" style="0" width="7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50"/>
  </cols>
  <sheetData>
    <row r="1" customFormat="false" ht="17.35" hidden="false" customHeight="false" outlineLevel="0" collapsed="false">
      <c r="A1" s="43" t="s">
        <v>470</v>
      </c>
    </row>
    <row r="2" customFormat="false" ht="15" hidden="false" customHeight="false" outlineLevel="0" collapsed="false">
      <c r="A2" s="2" t="s">
        <v>368</v>
      </c>
    </row>
    <row r="4" customFormat="false" ht="15" hidden="false" customHeight="false" outlineLevel="0" collapsed="false">
      <c r="A4" s="8" t="s">
        <v>33</v>
      </c>
      <c r="B4" s="8" t="s">
        <v>369</v>
      </c>
      <c r="C4" s="8" t="s">
        <v>370</v>
      </c>
      <c r="D4" s="8" t="s">
        <v>371</v>
      </c>
      <c r="E4" s="8" t="s">
        <v>372</v>
      </c>
      <c r="F4" s="8" t="s">
        <v>373</v>
      </c>
      <c r="G4" s="8" t="s">
        <v>374</v>
      </c>
    </row>
    <row r="5" customFormat="false" ht="15" hidden="false" customHeight="false" outlineLevel="0" collapsed="false">
      <c r="A5" s="44" t="s">
        <v>155</v>
      </c>
      <c r="B5" s="19" t="s">
        <v>471</v>
      </c>
      <c r="C5" s="19"/>
      <c r="D5" s="19"/>
      <c r="E5" s="19"/>
      <c r="F5" s="19"/>
      <c r="G5" s="19"/>
    </row>
    <row r="6" customFormat="false" ht="30" hidden="false" customHeight="true" outlineLevel="0" collapsed="false">
      <c r="A6" s="45" t="s">
        <v>155</v>
      </c>
      <c r="B6" s="46" t="s">
        <v>472</v>
      </c>
      <c r="C6" s="46"/>
      <c r="D6" s="46"/>
      <c r="E6" s="46"/>
      <c r="F6" s="46"/>
      <c r="G6" s="46"/>
    </row>
    <row r="7" customFormat="false" ht="15" hidden="false" customHeight="false" outlineLevel="0" collapsed="false">
      <c r="A7" s="41" t="s">
        <v>155</v>
      </c>
      <c r="B7" s="14" t="s">
        <v>377</v>
      </c>
      <c r="C7" s="14" t="s">
        <v>378</v>
      </c>
      <c r="D7" s="15" t="n">
        <v>4</v>
      </c>
      <c r="E7" s="15" t="s">
        <v>379</v>
      </c>
      <c r="F7" s="15" t="s">
        <v>380</v>
      </c>
      <c r="G7" s="14"/>
    </row>
    <row r="8" customFormat="false" ht="15" hidden="false" customHeight="false" outlineLevel="0" collapsed="false">
      <c r="A8" s="41" t="s">
        <v>155</v>
      </c>
      <c r="B8" s="14" t="s">
        <v>398</v>
      </c>
      <c r="C8" s="14" t="s">
        <v>400</v>
      </c>
      <c r="D8" s="15" t="n">
        <v>4</v>
      </c>
      <c r="E8" s="15" t="s">
        <v>379</v>
      </c>
      <c r="F8" s="15" t="s">
        <v>380</v>
      </c>
      <c r="G8" s="14"/>
    </row>
    <row r="9" customFormat="false" ht="15" hidden="false" customHeight="false" outlineLevel="0" collapsed="false">
      <c r="A9" s="41" t="s">
        <v>155</v>
      </c>
      <c r="B9" s="14" t="s">
        <v>398</v>
      </c>
      <c r="C9" s="14" t="s">
        <v>473</v>
      </c>
      <c r="D9" s="15" t="n">
        <v>2</v>
      </c>
      <c r="E9" s="15" t="s">
        <v>379</v>
      </c>
      <c r="F9" s="15" t="s">
        <v>394</v>
      </c>
      <c r="G9" s="14"/>
    </row>
    <row r="10" customFormat="false" ht="15" hidden="false" customHeight="false" outlineLevel="0" collapsed="false">
      <c r="A10" s="41" t="s">
        <v>155</v>
      </c>
      <c r="B10" s="14" t="s">
        <v>381</v>
      </c>
      <c r="C10" s="14" t="s">
        <v>474</v>
      </c>
      <c r="D10" s="15" t="n">
        <v>1</v>
      </c>
      <c r="E10" s="15" t="s">
        <v>379</v>
      </c>
      <c r="F10" s="15" t="s">
        <v>380</v>
      </c>
      <c r="G10" s="14"/>
    </row>
    <row r="11" customFormat="false" ht="15" hidden="false" customHeight="false" outlineLevel="0" collapsed="false">
      <c r="A11" s="41" t="s">
        <v>155</v>
      </c>
      <c r="B11" s="14" t="s">
        <v>383</v>
      </c>
      <c r="C11" s="14" t="s">
        <v>402</v>
      </c>
      <c r="D11" s="15" t="n">
        <v>1</v>
      </c>
      <c r="E11" s="15" t="s">
        <v>379</v>
      </c>
      <c r="F11" s="15" t="s">
        <v>394</v>
      </c>
      <c r="G11" s="14"/>
    </row>
    <row r="12" customFormat="false" ht="15" hidden="false" customHeight="false" outlineLevel="0" collapsed="false">
      <c r="A12" s="41" t="s">
        <v>155</v>
      </c>
      <c r="B12" s="14" t="s">
        <v>383</v>
      </c>
      <c r="C12" s="14" t="s">
        <v>403</v>
      </c>
      <c r="D12" s="15" t="n">
        <v>10</v>
      </c>
      <c r="E12" s="15" t="s">
        <v>379</v>
      </c>
      <c r="F12" s="15" t="s">
        <v>394</v>
      </c>
      <c r="G12" s="14"/>
    </row>
    <row r="13" customFormat="false" ht="15" hidden="false" customHeight="false" outlineLevel="0" collapsed="false">
      <c r="A13" s="41" t="s">
        <v>155</v>
      </c>
      <c r="B13" s="14" t="s">
        <v>404</v>
      </c>
      <c r="C13" s="14" t="s">
        <v>475</v>
      </c>
      <c r="D13" s="15" t="n">
        <v>1</v>
      </c>
      <c r="E13" s="15" t="s">
        <v>379</v>
      </c>
      <c r="F13" s="15" t="s">
        <v>394</v>
      </c>
      <c r="G13" s="14"/>
    </row>
    <row r="14" customFormat="false" ht="15" hidden="false" customHeight="false" outlineLevel="0" collapsed="false">
      <c r="A14" s="41" t="s">
        <v>155</v>
      </c>
      <c r="B14" s="14" t="s">
        <v>404</v>
      </c>
      <c r="C14" s="14" t="s">
        <v>405</v>
      </c>
      <c r="D14" s="15" t="n">
        <v>1</v>
      </c>
      <c r="E14" s="15" t="s">
        <v>379</v>
      </c>
      <c r="F14" s="15" t="s">
        <v>394</v>
      </c>
      <c r="G14" s="14"/>
    </row>
    <row r="16" customFormat="false" ht="15" hidden="false" customHeight="false" outlineLevel="0" collapsed="false">
      <c r="A16" s="44" t="s">
        <v>159</v>
      </c>
      <c r="B16" s="19" t="s">
        <v>476</v>
      </c>
      <c r="C16" s="19"/>
      <c r="D16" s="19"/>
      <c r="E16" s="19"/>
      <c r="F16" s="19"/>
      <c r="G16" s="19"/>
    </row>
    <row r="17" customFormat="false" ht="30" hidden="false" customHeight="true" outlineLevel="0" collapsed="false">
      <c r="A17" s="45" t="s">
        <v>159</v>
      </c>
      <c r="B17" s="46" t="s">
        <v>477</v>
      </c>
      <c r="C17" s="46"/>
      <c r="D17" s="46"/>
      <c r="E17" s="46"/>
      <c r="F17" s="46"/>
      <c r="G17" s="46"/>
    </row>
    <row r="18" customFormat="false" ht="15" hidden="false" customHeight="false" outlineLevel="0" collapsed="false">
      <c r="A18" s="41" t="s">
        <v>159</v>
      </c>
      <c r="B18" s="14" t="s">
        <v>392</v>
      </c>
      <c r="C18" s="14" t="s">
        <v>393</v>
      </c>
      <c r="D18" s="15" t="n">
        <v>1</v>
      </c>
      <c r="E18" s="15" t="s">
        <v>379</v>
      </c>
      <c r="F18" s="15" t="s">
        <v>394</v>
      </c>
      <c r="G18" s="14"/>
    </row>
    <row r="19" customFormat="false" ht="15" hidden="false" customHeight="false" outlineLevel="0" collapsed="false">
      <c r="A19" s="41" t="s">
        <v>159</v>
      </c>
      <c r="B19" s="14" t="s">
        <v>396</v>
      </c>
      <c r="C19" s="14" t="s">
        <v>397</v>
      </c>
      <c r="D19" s="15" t="n">
        <v>1</v>
      </c>
      <c r="E19" s="15" t="s">
        <v>379</v>
      </c>
      <c r="F19" s="15" t="s">
        <v>394</v>
      </c>
      <c r="G19" s="14"/>
    </row>
    <row r="20" customFormat="false" ht="15" hidden="false" customHeight="false" outlineLevel="0" collapsed="false">
      <c r="A20" s="41" t="s">
        <v>159</v>
      </c>
      <c r="B20" s="14" t="s">
        <v>377</v>
      </c>
      <c r="C20" s="14" t="s">
        <v>378</v>
      </c>
      <c r="D20" s="15" t="n">
        <v>2</v>
      </c>
      <c r="E20" s="15" t="s">
        <v>379</v>
      </c>
      <c r="F20" s="15" t="s">
        <v>380</v>
      </c>
      <c r="G20" s="14"/>
    </row>
    <row r="21" customFormat="false" ht="15" hidden="false" customHeight="false" outlineLevel="0" collapsed="false">
      <c r="A21" s="41" t="s">
        <v>159</v>
      </c>
      <c r="B21" s="14" t="s">
        <v>377</v>
      </c>
      <c r="C21" s="14" t="s">
        <v>478</v>
      </c>
      <c r="D21" s="15" t="n">
        <v>1</v>
      </c>
      <c r="E21" s="15" t="s">
        <v>379</v>
      </c>
      <c r="F21" s="15" t="s">
        <v>394</v>
      </c>
      <c r="G21" s="14"/>
    </row>
    <row r="22" customFormat="false" ht="15" hidden="false" customHeight="false" outlineLevel="0" collapsed="false">
      <c r="A22" s="41" t="s">
        <v>159</v>
      </c>
      <c r="B22" s="14" t="s">
        <v>398</v>
      </c>
      <c r="C22" s="14" t="s">
        <v>399</v>
      </c>
      <c r="D22" s="15" t="n">
        <v>2</v>
      </c>
      <c r="E22" s="15" t="s">
        <v>379</v>
      </c>
      <c r="F22" s="15" t="s">
        <v>394</v>
      </c>
      <c r="G22" s="14"/>
    </row>
    <row r="23" customFormat="false" ht="15" hidden="false" customHeight="false" outlineLevel="0" collapsed="false">
      <c r="A23" s="41" t="s">
        <v>159</v>
      </c>
      <c r="B23" s="14" t="s">
        <v>398</v>
      </c>
      <c r="C23" s="14" t="s">
        <v>400</v>
      </c>
      <c r="D23" s="15" t="n">
        <v>2</v>
      </c>
      <c r="E23" s="15" t="s">
        <v>379</v>
      </c>
      <c r="F23" s="15" t="s">
        <v>380</v>
      </c>
      <c r="G23" s="14"/>
    </row>
    <row r="24" customFormat="false" ht="15" hidden="false" customHeight="false" outlineLevel="0" collapsed="false">
      <c r="A24" s="41" t="s">
        <v>159</v>
      </c>
      <c r="B24" s="14" t="s">
        <v>398</v>
      </c>
      <c r="C24" s="14" t="s">
        <v>401</v>
      </c>
      <c r="D24" s="15" t="n">
        <v>2</v>
      </c>
      <c r="E24" s="15" t="s">
        <v>379</v>
      </c>
      <c r="F24" s="15" t="s">
        <v>380</v>
      </c>
      <c r="G24" s="14"/>
    </row>
    <row r="25" customFormat="false" ht="15" hidden="false" customHeight="false" outlineLevel="0" collapsed="false">
      <c r="A25" s="41" t="s">
        <v>159</v>
      </c>
      <c r="B25" s="14" t="s">
        <v>383</v>
      </c>
      <c r="C25" s="14" t="s">
        <v>402</v>
      </c>
      <c r="D25" s="15" t="n">
        <v>1</v>
      </c>
      <c r="E25" s="15" t="s">
        <v>379</v>
      </c>
      <c r="F25" s="15" t="s">
        <v>394</v>
      </c>
      <c r="G25" s="14"/>
    </row>
    <row r="26" customFormat="false" ht="15" hidden="false" customHeight="false" outlineLevel="0" collapsed="false">
      <c r="A26" s="41" t="s">
        <v>159</v>
      </c>
      <c r="B26" s="14" t="s">
        <v>383</v>
      </c>
      <c r="C26" s="14" t="s">
        <v>403</v>
      </c>
      <c r="D26" s="15" t="n">
        <v>14</v>
      </c>
      <c r="E26" s="15" t="s">
        <v>379</v>
      </c>
      <c r="F26" s="15" t="s">
        <v>394</v>
      </c>
      <c r="G26" s="14"/>
    </row>
    <row r="27" customFormat="false" ht="15" hidden="false" customHeight="false" outlineLevel="0" collapsed="false">
      <c r="A27" s="41" t="s">
        <v>159</v>
      </c>
      <c r="B27" s="14" t="s">
        <v>383</v>
      </c>
      <c r="C27" s="14" t="s">
        <v>421</v>
      </c>
      <c r="D27" s="15" t="n">
        <v>4</v>
      </c>
      <c r="E27" s="15" t="s">
        <v>379</v>
      </c>
      <c r="F27" s="15" t="s">
        <v>394</v>
      </c>
      <c r="G27" s="14"/>
    </row>
    <row r="28" customFormat="false" ht="15" hidden="false" customHeight="false" outlineLevel="0" collapsed="false">
      <c r="A28" s="41" t="s">
        <v>159</v>
      </c>
      <c r="B28" s="14" t="s">
        <v>404</v>
      </c>
      <c r="C28" s="14" t="s">
        <v>405</v>
      </c>
      <c r="D28" s="15" t="n">
        <v>1</v>
      </c>
      <c r="E28" s="15" t="s">
        <v>379</v>
      </c>
      <c r="F28" s="15" t="s">
        <v>394</v>
      </c>
      <c r="G28" s="14"/>
    </row>
    <row r="30" customFormat="false" ht="15" hidden="false" customHeight="false" outlineLevel="0" collapsed="false">
      <c r="A30" s="44" t="s">
        <v>164</v>
      </c>
      <c r="B30" s="19" t="s">
        <v>479</v>
      </c>
      <c r="C30" s="19"/>
      <c r="D30" s="19"/>
      <c r="E30" s="19"/>
      <c r="F30" s="19"/>
      <c r="G30" s="19"/>
    </row>
    <row r="31" customFormat="false" ht="30" hidden="false" customHeight="true" outlineLevel="0" collapsed="false">
      <c r="A31" s="45" t="s">
        <v>164</v>
      </c>
      <c r="B31" s="46" t="s">
        <v>480</v>
      </c>
      <c r="C31" s="46"/>
      <c r="D31" s="46"/>
      <c r="E31" s="46"/>
      <c r="F31" s="46"/>
      <c r="G31" s="46"/>
    </row>
    <row r="32" customFormat="false" ht="15" hidden="false" customHeight="false" outlineLevel="0" collapsed="false">
      <c r="A32" s="41" t="s">
        <v>164</v>
      </c>
      <c r="B32" s="14" t="s">
        <v>392</v>
      </c>
      <c r="C32" s="14" t="s">
        <v>393</v>
      </c>
      <c r="D32" s="15" t="n">
        <v>1</v>
      </c>
      <c r="E32" s="15" t="s">
        <v>379</v>
      </c>
      <c r="F32" s="15" t="s">
        <v>394</v>
      </c>
      <c r="G32" s="14"/>
    </row>
    <row r="33" customFormat="false" ht="15" hidden="false" customHeight="false" outlineLevel="0" collapsed="false">
      <c r="A33" s="41" t="s">
        <v>164</v>
      </c>
      <c r="B33" s="14" t="s">
        <v>419</v>
      </c>
      <c r="C33" s="14" t="s">
        <v>424</v>
      </c>
      <c r="D33" s="15" t="n">
        <v>1</v>
      </c>
      <c r="E33" s="15" t="s">
        <v>379</v>
      </c>
      <c r="F33" s="15" t="s">
        <v>394</v>
      </c>
      <c r="G33" s="14"/>
    </row>
    <row r="34" customFormat="false" ht="15" hidden="false" customHeight="false" outlineLevel="0" collapsed="false">
      <c r="A34" s="41" t="s">
        <v>164</v>
      </c>
      <c r="B34" s="14" t="s">
        <v>419</v>
      </c>
      <c r="C34" s="14" t="s">
        <v>420</v>
      </c>
      <c r="D34" s="15" t="n">
        <v>1</v>
      </c>
      <c r="E34" s="15" t="s">
        <v>379</v>
      </c>
      <c r="F34" s="15" t="s">
        <v>394</v>
      </c>
      <c r="G34" s="14"/>
    </row>
    <row r="35" customFormat="false" ht="15" hidden="false" customHeight="false" outlineLevel="0" collapsed="false">
      <c r="A35" s="41" t="s">
        <v>164</v>
      </c>
      <c r="B35" s="14" t="s">
        <v>377</v>
      </c>
      <c r="C35" s="14" t="s">
        <v>478</v>
      </c>
      <c r="D35" s="15" t="n">
        <v>1</v>
      </c>
      <c r="E35" s="15" t="s">
        <v>379</v>
      </c>
      <c r="F35" s="15" t="s">
        <v>394</v>
      </c>
      <c r="G35" s="14"/>
    </row>
    <row r="36" customFormat="false" ht="15" hidden="false" customHeight="false" outlineLevel="0" collapsed="false">
      <c r="A36" s="41" t="s">
        <v>164</v>
      </c>
      <c r="B36" s="14" t="s">
        <v>398</v>
      </c>
      <c r="C36" s="14" t="s">
        <v>401</v>
      </c>
      <c r="D36" s="15" t="n">
        <v>1</v>
      </c>
      <c r="E36" s="15" t="s">
        <v>379</v>
      </c>
      <c r="F36" s="15" t="s">
        <v>380</v>
      </c>
      <c r="G36" s="14"/>
    </row>
    <row r="37" customFormat="false" ht="15" hidden="false" customHeight="false" outlineLevel="0" collapsed="false">
      <c r="A37" s="41" t="s">
        <v>164</v>
      </c>
      <c r="B37" s="14" t="s">
        <v>383</v>
      </c>
      <c r="C37" s="14" t="s">
        <v>402</v>
      </c>
      <c r="D37" s="15" t="n">
        <v>1</v>
      </c>
      <c r="E37" s="15" t="s">
        <v>379</v>
      </c>
      <c r="F37" s="15" t="s">
        <v>394</v>
      </c>
      <c r="G37" s="14"/>
    </row>
    <row r="38" customFormat="false" ht="15" hidden="false" customHeight="false" outlineLevel="0" collapsed="false">
      <c r="A38" s="41" t="s">
        <v>164</v>
      </c>
      <c r="B38" s="14" t="s">
        <v>383</v>
      </c>
      <c r="C38" s="14" t="s">
        <v>403</v>
      </c>
      <c r="D38" s="15" t="n">
        <v>10</v>
      </c>
      <c r="E38" s="15" t="s">
        <v>379</v>
      </c>
      <c r="F38" s="15" t="s">
        <v>394</v>
      </c>
      <c r="G38" s="14"/>
    </row>
    <row r="39" customFormat="false" ht="15" hidden="false" customHeight="false" outlineLevel="0" collapsed="false">
      <c r="A39" s="41" t="s">
        <v>164</v>
      </c>
      <c r="B39" s="14" t="s">
        <v>383</v>
      </c>
      <c r="C39" s="14" t="s">
        <v>421</v>
      </c>
      <c r="D39" s="15" t="n">
        <v>6</v>
      </c>
      <c r="E39" s="15" t="s">
        <v>379</v>
      </c>
      <c r="F39" s="15" t="s">
        <v>394</v>
      </c>
      <c r="G39" s="14"/>
    </row>
    <row r="40" customFormat="false" ht="15" hidden="false" customHeight="false" outlineLevel="0" collapsed="false">
      <c r="A40" s="41" t="s">
        <v>164</v>
      </c>
      <c r="B40" s="14" t="s">
        <v>404</v>
      </c>
      <c r="C40" s="14" t="s">
        <v>405</v>
      </c>
      <c r="D40" s="15" t="n">
        <v>1</v>
      </c>
      <c r="E40" s="15" t="s">
        <v>379</v>
      </c>
      <c r="F40" s="15" t="s">
        <v>394</v>
      </c>
      <c r="G40" s="14"/>
    </row>
    <row r="42" customFormat="false" ht="15" hidden="false" customHeight="false" outlineLevel="0" collapsed="false">
      <c r="A42" s="44" t="s">
        <v>168</v>
      </c>
      <c r="B42" s="19" t="s">
        <v>481</v>
      </c>
      <c r="C42" s="19"/>
      <c r="D42" s="19"/>
      <c r="E42" s="19"/>
      <c r="F42" s="19"/>
      <c r="G42" s="19"/>
    </row>
    <row r="43" customFormat="false" ht="30" hidden="false" customHeight="true" outlineLevel="0" collapsed="false">
      <c r="A43" s="45" t="s">
        <v>168</v>
      </c>
      <c r="B43" s="46" t="s">
        <v>482</v>
      </c>
      <c r="C43" s="46"/>
      <c r="D43" s="46"/>
      <c r="E43" s="46"/>
      <c r="F43" s="46"/>
      <c r="G43" s="46"/>
    </row>
    <row r="44" customFormat="false" ht="15" hidden="false" customHeight="false" outlineLevel="0" collapsed="false">
      <c r="A44" s="41" t="s">
        <v>168</v>
      </c>
      <c r="B44" s="14" t="s">
        <v>392</v>
      </c>
      <c r="C44" s="14" t="s">
        <v>393</v>
      </c>
      <c r="D44" s="15" t="n">
        <v>1</v>
      </c>
      <c r="E44" s="15" t="s">
        <v>379</v>
      </c>
      <c r="F44" s="15" t="s">
        <v>394</v>
      </c>
      <c r="G44" s="14"/>
    </row>
    <row r="45" customFormat="false" ht="15" hidden="false" customHeight="false" outlineLevel="0" collapsed="false">
      <c r="A45" s="41" t="s">
        <v>168</v>
      </c>
      <c r="B45" s="14" t="s">
        <v>419</v>
      </c>
      <c r="C45" s="14" t="s">
        <v>441</v>
      </c>
      <c r="D45" s="15" t="n">
        <v>2</v>
      </c>
      <c r="E45" s="15" t="s">
        <v>379</v>
      </c>
      <c r="F45" s="15" t="s">
        <v>394</v>
      </c>
      <c r="G45" s="14"/>
    </row>
    <row r="46" customFormat="false" ht="15" hidden="false" customHeight="false" outlineLevel="0" collapsed="false">
      <c r="A46" s="41" t="s">
        <v>168</v>
      </c>
      <c r="B46" s="14" t="s">
        <v>396</v>
      </c>
      <c r="C46" s="14" t="s">
        <v>436</v>
      </c>
      <c r="D46" s="15" t="n">
        <v>1</v>
      </c>
      <c r="E46" s="15" t="s">
        <v>379</v>
      </c>
      <c r="F46" s="15" t="s">
        <v>394</v>
      </c>
      <c r="G46" s="14"/>
    </row>
    <row r="47" customFormat="false" ht="15" hidden="false" customHeight="false" outlineLevel="0" collapsed="false">
      <c r="A47" s="41" t="s">
        <v>168</v>
      </c>
      <c r="B47" s="14" t="s">
        <v>377</v>
      </c>
      <c r="C47" s="14" t="s">
        <v>378</v>
      </c>
      <c r="D47" s="15" t="n">
        <v>3</v>
      </c>
      <c r="E47" s="15" t="s">
        <v>379</v>
      </c>
      <c r="F47" s="15" t="s">
        <v>380</v>
      </c>
      <c r="G47" s="14" t="s">
        <v>483</v>
      </c>
    </row>
    <row r="48" customFormat="false" ht="15" hidden="false" customHeight="false" outlineLevel="0" collapsed="false">
      <c r="A48" s="41" t="s">
        <v>168</v>
      </c>
      <c r="B48" s="14" t="s">
        <v>398</v>
      </c>
      <c r="C48" s="14" t="s">
        <v>400</v>
      </c>
      <c r="D48" s="15" t="n">
        <v>3</v>
      </c>
      <c r="E48" s="15" t="s">
        <v>379</v>
      </c>
      <c r="F48" s="15" t="s">
        <v>380</v>
      </c>
      <c r="G48" s="14"/>
    </row>
    <row r="49" customFormat="false" ht="15" hidden="false" customHeight="false" outlineLevel="0" collapsed="false">
      <c r="A49" s="41" t="s">
        <v>168</v>
      </c>
      <c r="B49" s="14" t="s">
        <v>383</v>
      </c>
      <c r="C49" s="14" t="s">
        <v>402</v>
      </c>
      <c r="D49" s="15" t="n">
        <v>1</v>
      </c>
      <c r="E49" s="15" t="s">
        <v>379</v>
      </c>
      <c r="F49" s="15" t="s">
        <v>394</v>
      </c>
      <c r="G49" s="14"/>
    </row>
    <row r="50" customFormat="false" ht="15" hidden="false" customHeight="false" outlineLevel="0" collapsed="false">
      <c r="A50" s="41" t="s">
        <v>168</v>
      </c>
      <c r="B50" s="14" t="s">
        <v>383</v>
      </c>
      <c r="C50" s="14" t="s">
        <v>403</v>
      </c>
      <c r="D50" s="15" t="n">
        <v>14</v>
      </c>
      <c r="E50" s="15" t="s">
        <v>379</v>
      </c>
      <c r="F50" s="15" t="s">
        <v>394</v>
      </c>
      <c r="G50" s="14"/>
    </row>
    <row r="51" customFormat="false" ht="15" hidden="false" customHeight="false" outlineLevel="0" collapsed="false">
      <c r="A51" s="41" t="s">
        <v>168</v>
      </c>
      <c r="B51" s="14" t="s">
        <v>383</v>
      </c>
      <c r="C51" s="14" t="s">
        <v>421</v>
      </c>
      <c r="D51" s="15" t="n">
        <v>8</v>
      </c>
      <c r="E51" s="15" t="s">
        <v>379</v>
      </c>
      <c r="F51" s="15" t="s">
        <v>394</v>
      </c>
      <c r="G51" s="14"/>
    </row>
    <row r="52" customFormat="false" ht="15" hidden="false" customHeight="false" outlineLevel="0" collapsed="false">
      <c r="A52" s="41" t="s">
        <v>168</v>
      </c>
      <c r="B52" s="14" t="s">
        <v>404</v>
      </c>
      <c r="C52" s="14" t="s">
        <v>405</v>
      </c>
      <c r="D52" s="15" t="n">
        <v>1</v>
      </c>
      <c r="E52" s="15" t="s">
        <v>379</v>
      </c>
      <c r="F52" s="15" t="s">
        <v>394</v>
      </c>
      <c r="G52" s="14"/>
    </row>
    <row r="53" customFormat="false" ht="15" hidden="false" customHeight="false" outlineLevel="0" collapsed="false">
      <c r="A53" s="41" t="s">
        <v>168</v>
      </c>
      <c r="B53" s="14" t="s">
        <v>386</v>
      </c>
      <c r="C53" s="14" t="s">
        <v>437</v>
      </c>
      <c r="D53" s="15" t="n">
        <v>1</v>
      </c>
      <c r="E53" s="15" t="s">
        <v>379</v>
      </c>
      <c r="F53" s="15" t="s">
        <v>380</v>
      </c>
      <c r="G53" s="14" t="s">
        <v>484</v>
      </c>
    </row>
    <row r="55" customFormat="false" ht="15" hidden="false" customHeight="false" outlineLevel="0" collapsed="false">
      <c r="A55" s="44" t="s">
        <v>173</v>
      </c>
      <c r="B55" s="19" t="s">
        <v>485</v>
      </c>
      <c r="C55" s="19"/>
      <c r="D55" s="19"/>
      <c r="E55" s="19"/>
      <c r="F55" s="19"/>
      <c r="G55" s="19"/>
    </row>
    <row r="56" customFormat="false" ht="30" hidden="false" customHeight="true" outlineLevel="0" collapsed="false">
      <c r="A56" s="45" t="s">
        <v>173</v>
      </c>
      <c r="B56" s="46" t="s">
        <v>486</v>
      </c>
      <c r="C56" s="46"/>
      <c r="D56" s="46"/>
      <c r="E56" s="46"/>
      <c r="F56" s="46"/>
      <c r="G56" s="46"/>
    </row>
    <row r="57" customFormat="false" ht="15" hidden="false" customHeight="false" outlineLevel="0" collapsed="false">
      <c r="A57" s="41" t="s">
        <v>173</v>
      </c>
      <c r="B57" s="14" t="s">
        <v>392</v>
      </c>
      <c r="C57" s="14" t="s">
        <v>393</v>
      </c>
      <c r="D57" s="15" t="n">
        <v>1</v>
      </c>
      <c r="E57" s="15" t="s">
        <v>379</v>
      </c>
      <c r="F57" s="15" t="s">
        <v>394</v>
      </c>
      <c r="G57" s="14"/>
    </row>
    <row r="58" customFormat="false" ht="15" hidden="false" customHeight="false" outlineLevel="0" collapsed="false">
      <c r="A58" s="41" t="s">
        <v>173</v>
      </c>
      <c r="B58" s="14" t="s">
        <v>419</v>
      </c>
      <c r="C58" s="14" t="s">
        <v>487</v>
      </c>
      <c r="D58" s="15" t="n">
        <v>1</v>
      </c>
      <c r="E58" s="15" t="s">
        <v>379</v>
      </c>
      <c r="F58" s="15" t="s">
        <v>394</v>
      </c>
      <c r="G58" s="14"/>
    </row>
    <row r="59" customFormat="false" ht="15" hidden="false" customHeight="false" outlineLevel="0" collapsed="false">
      <c r="A59" s="41" t="s">
        <v>173</v>
      </c>
      <c r="B59" s="14" t="s">
        <v>396</v>
      </c>
      <c r="C59" s="14" t="s">
        <v>436</v>
      </c>
      <c r="D59" s="15" t="n">
        <v>1</v>
      </c>
      <c r="E59" s="15" t="s">
        <v>379</v>
      </c>
      <c r="F59" s="15" t="s">
        <v>394</v>
      </c>
      <c r="G59" s="14"/>
    </row>
    <row r="60" customFormat="false" ht="15" hidden="false" customHeight="false" outlineLevel="0" collapsed="false">
      <c r="A60" s="41" t="s">
        <v>173</v>
      </c>
      <c r="B60" s="14" t="s">
        <v>396</v>
      </c>
      <c r="C60" s="14" t="s">
        <v>397</v>
      </c>
      <c r="D60" s="15" t="n">
        <v>1</v>
      </c>
      <c r="E60" s="15" t="s">
        <v>379</v>
      </c>
      <c r="F60" s="15" t="s">
        <v>394</v>
      </c>
      <c r="G60" s="14"/>
    </row>
    <row r="61" customFormat="false" ht="15" hidden="false" customHeight="false" outlineLevel="0" collapsed="false">
      <c r="A61" s="41" t="s">
        <v>173</v>
      </c>
      <c r="B61" s="14" t="s">
        <v>377</v>
      </c>
      <c r="C61" s="14" t="s">
        <v>378</v>
      </c>
      <c r="D61" s="15" t="n">
        <v>1</v>
      </c>
      <c r="E61" s="15" t="s">
        <v>379</v>
      </c>
      <c r="F61" s="15" t="s">
        <v>380</v>
      </c>
      <c r="G61" s="14"/>
    </row>
    <row r="62" customFormat="false" ht="15" hidden="false" customHeight="false" outlineLevel="0" collapsed="false">
      <c r="A62" s="41" t="s">
        <v>173</v>
      </c>
      <c r="B62" s="14" t="s">
        <v>398</v>
      </c>
      <c r="C62" s="14" t="s">
        <v>400</v>
      </c>
      <c r="D62" s="15" t="n">
        <v>1</v>
      </c>
      <c r="E62" s="15" t="s">
        <v>379</v>
      </c>
      <c r="F62" s="15" t="s">
        <v>380</v>
      </c>
      <c r="G62" s="14"/>
    </row>
    <row r="63" customFormat="false" ht="15" hidden="false" customHeight="false" outlineLevel="0" collapsed="false">
      <c r="A63" s="41" t="s">
        <v>173</v>
      </c>
      <c r="B63" s="14" t="s">
        <v>383</v>
      </c>
      <c r="C63" s="14" t="s">
        <v>402</v>
      </c>
      <c r="D63" s="15" t="n">
        <v>1</v>
      </c>
      <c r="E63" s="15" t="s">
        <v>379</v>
      </c>
      <c r="F63" s="15" t="s">
        <v>394</v>
      </c>
      <c r="G63" s="14"/>
    </row>
    <row r="64" customFormat="false" ht="15" hidden="false" customHeight="false" outlineLevel="0" collapsed="false">
      <c r="A64" s="41" t="s">
        <v>173</v>
      </c>
      <c r="B64" s="14" t="s">
        <v>383</v>
      </c>
      <c r="C64" s="14" t="s">
        <v>403</v>
      </c>
      <c r="D64" s="15" t="n">
        <v>10</v>
      </c>
      <c r="E64" s="15" t="s">
        <v>379</v>
      </c>
      <c r="F64" s="15" t="s">
        <v>394</v>
      </c>
      <c r="G64" s="14"/>
    </row>
    <row r="65" customFormat="false" ht="15" hidden="false" customHeight="false" outlineLevel="0" collapsed="false">
      <c r="A65" s="41" t="s">
        <v>173</v>
      </c>
      <c r="B65" s="14" t="s">
        <v>383</v>
      </c>
      <c r="C65" s="14" t="s">
        <v>421</v>
      </c>
      <c r="D65" s="15" t="n">
        <v>4</v>
      </c>
      <c r="E65" s="15" t="s">
        <v>379</v>
      </c>
      <c r="F65" s="15" t="s">
        <v>394</v>
      </c>
      <c r="G65" s="14"/>
    </row>
    <row r="66" customFormat="false" ht="15" hidden="false" customHeight="false" outlineLevel="0" collapsed="false">
      <c r="A66" s="41" t="s">
        <v>173</v>
      </c>
      <c r="B66" s="14" t="s">
        <v>404</v>
      </c>
      <c r="C66" s="14" t="s">
        <v>405</v>
      </c>
      <c r="D66" s="15" t="n">
        <v>1</v>
      </c>
      <c r="E66" s="15" t="s">
        <v>379</v>
      </c>
      <c r="F66" s="15" t="s">
        <v>394</v>
      </c>
      <c r="G66" s="14"/>
    </row>
    <row r="67" customFormat="false" ht="15" hidden="false" customHeight="false" outlineLevel="0" collapsed="false">
      <c r="A67" s="41" t="s">
        <v>173</v>
      </c>
      <c r="B67" s="14" t="s">
        <v>386</v>
      </c>
      <c r="C67" s="14" t="s">
        <v>437</v>
      </c>
      <c r="D67" s="15" t="n">
        <v>1</v>
      </c>
      <c r="E67" s="15" t="s">
        <v>379</v>
      </c>
      <c r="F67" s="15" t="s">
        <v>380</v>
      </c>
      <c r="G67" s="14" t="s">
        <v>488</v>
      </c>
    </row>
    <row r="69" customFormat="false" ht="15" hidden="false" customHeight="false" outlineLevel="0" collapsed="false">
      <c r="A69" s="44" t="s">
        <v>177</v>
      </c>
      <c r="B69" s="19" t="s">
        <v>489</v>
      </c>
      <c r="C69" s="19"/>
      <c r="D69" s="19"/>
      <c r="E69" s="19"/>
      <c r="F69" s="19"/>
      <c r="G69" s="19"/>
    </row>
    <row r="70" customFormat="false" ht="30" hidden="false" customHeight="true" outlineLevel="0" collapsed="false">
      <c r="A70" s="45" t="s">
        <v>177</v>
      </c>
      <c r="B70" s="46" t="s">
        <v>490</v>
      </c>
      <c r="C70" s="46"/>
      <c r="D70" s="46"/>
      <c r="E70" s="46"/>
      <c r="F70" s="46"/>
      <c r="G70" s="46"/>
    </row>
    <row r="71" customFormat="false" ht="15" hidden="false" customHeight="false" outlineLevel="0" collapsed="false">
      <c r="A71" s="41" t="s">
        <v>177</v>
      </c>
      <c r="B71" s="14" t="s">
        <v>392</v>
      </c>
      <c r="C71" s="14" t="s">
        <v>393</v>
      </c>
      <c r="D71" s="15" t="n">
        <v>1</v>
      </c>
      <c r="E71" s="15" t="s">
        <v>379</v>
      </c>
      <c r="F71" s="15" t="s">
        <v>394</v>
      </c>
      <c r="G71" s="14"/>
    </row>
    <row r="72" customFormat="false" ht="15" hidden="false" customHeight="false" outlineLevel="0" collapsed="false">
      <c r="A72" s="41" t="s">
        <v>177</v>
      </c>
      <c r="B72" s="14" t="s">
        <v>419</v>
      </c>
      <c r="C72" s="14" t="s">
        <v>491</v>
      </c>
      <c r="D72" s="15" t="n">
        <v>1</v>
      </c>
      <c r="E72" s="15" t="s">
        <v>379</v>
      </c>
      <c r="F72" s="15" t="s">
        <v>394</v>
      </c>
      <c r="G72" s="14"/>
    </row>
    <row r="73" customFormat="false" ht="15" hidden="false" customHeight="false" outlineLevel="0" collapsed="false">
      <c r="A73" s="41" t="s">
        <v>177</v>
      </c>
      <c r="B73" s="14" t="s">
        <v>419</v>
      </c>
      <c r="C73" s="14" t="s">
        <v>492</v>
      </c>
      <c r="D73" s="15" t="n">
        <v>1</v>
      </c>
      <c r="E73" s="15" t="s">
        <v>379</v>
      </c>
      <c r="F73" s="15" t="s">
        <v>394</v>
      </c>
      <c r="G73" s="14"/>
    </row>
    <row r="74" customFormat="false" ht="15" hidden="false" customHeight="false" outlineLevel="0" collapsed="false">
      <c r="A74" s="41" t="s">
        <v>177</v>
      </c>
      <c r="B74" s="14" t="s">
        <v>396</v>
      </c>
      <c r="C74" s="14" t="s">
        <v>397</v>
      </c>
      <c r="D74" s="15" t="n">
        <v>1</v>
      </c>
      <c r="E74" s="15" t="s">
        <v>379</v>
      </c>
      <c r="F74" s="15" t="s">
        <v>394</v>
      </c>
      <c r="G74" s="14"/>
    </row>
    <row r="75" customFormat="false" ht="15" hidden="false" customHeight="false" outlineLevel="0" collapsed="false">
      <c r="A75" s="41" t="s">
        <v>177</v>
      </c>
      <c r="B75" s="14" t="s">
        <v>377</v>
      </c>
      <c r="C75" s="14" t="s">
        <v>378</v>
      </c>
      <c r="D75" s="15" t="n">
        <v>2</v>
      </c>
      <c r="E75" s="15" t="s">
        <v>379</v>
      </c>
      <c r="F75" s="15" t="s">
        <v>380</v>
      </c>
      <c r="G75" s="14" t="s">
        <v>493</v>
      </c>
    </row>
    <row r="76" customFormat="false" ht="15" hidden="false" customHeight="false" outlineLevel="0" collapsed="false">
      <c r="A76" s="41" t="s">
        <v>177</v>
      </c>
      <c r="B76" s="14" t="s">
        <v>377</v>
      </c>
      <c r="C76" s="14" t="s">
        <v>478</v>
      </c>
      <c r="D76" s="15" t="n">
        <v>1</v>
      </c>
      <c r="E76" s="15" t="s">
        <v>379</v>
      </c>
      <c r="F76" s="15" t="s">
        <v>394</v>
      </c>
      <c r="G76" s="14"/>
    </row>
    <row r="77" customFormat="false" ht="15" hidden="false" customHeight="false" outlineLevel="0" collapsed="false">
      <c r="A77" s="41" t="s">
        <v>177</v>
      </c>
      <c r="B77" s="14" t="s">
        <v>398</v>
      </c>
      <c r="C77" s="14" t="s">
        <v>400</v>
      </c>
      <c r="D77" s="15" t="n">
        <v>2</v>
      </c>
      <c r="E77" s="15" t="s">
        <v>379</v>
      </c>
      <c r="F77" s="15" t="s">
        <v>380</v>
      </c>
      <c r="G77" s="14"/>
    </row>
    <row r="78" customFormat="false" ht="15" hidden="false" customHeight="false" outlineLevel="0" collapsed="false">
      <c r="A78" s="41" t="s">
        <v>177</v>
      </c>
      <c r="B78" s="14" t="s">
        <v>383</v>
      </c>
      <c r="C78" s="14" t="s">
        <v>402</v>
      </c>
      <c r="D78" s="15" t="n">
        <v>1</v>
      </c>
      <c r="E78" s="15" t="s">
        <v>379</v>
      </c>
      <c r="F78" s="15" t="s">
        <v>394</v>
      </c>
      <c r="G78" s="14"/>
    </row>
    <row r="79" customFormat="false" ht="15" hidden="false" customHeight="false" outlineLevel="0" collapsed="false">
      <c r="A79" s="41" t="s">
        <v>177</v>
      </c>
      <c r="B79" s="14" t="s">
        <v>383</v>
      </c>
      <c r="C79" s="14" t="s">
        <v>403</v>
      </c>
      <c r="D79" s="15" t="n">
        <v>12</v>
      </c>
      <c r="E79" s="15" t="s">
        <v>379</v>
      </c>
      <c r="F79" s="15" t="s">
        <v>394</v>
      </c>
      <c r="G79" s="14"/>
    </row>
    <row r="80" customFormat="false" ht="15" hidden="false" customHeight="false" outlineLevel="0" collapsed="false">
      <c r="A80" s="41" t="s">
        <v>177</v>
      </c>
      <c r="B80" s="14" t="s">
        <v>383</v>
      </c>
      <c r="C80" s="14" t="s">
        <v>421</v>
      </c>
      <c r="D80" s="15" t="n">
        <v>8</v>
      </c>
      <c r="E80" s="15" t="s">
        <v>379</v>
      </c>
      <c r="F80" s="15" t="s">
        <v>394</v>
      </c>
      <c r="G80" s="14"/>
    </row>
    <row r="81" customFormat="false" ht="15" hidden="false" customHeight="false" outlineLevel="0" collapsed="false">
      <c r="A81" s="41" t="s">
        <v>177</v>
      </c>
      <c r="B81" s="14" t="s">
        <v>404</v>
      </c>
      <c r="C81" s="14" t="s">
        <v>405</v>
      </c>
      <c r="D81" s="15" t="n">
        <v>1</v>
      </c>
      <c r="E81" s="15" t="s">
        <v>379</v>
      </c>
      <c r="F81" s="15" t="s">
        <v>394</v>
      </c>
      <c r="G81" s="14"/>
    </row>
    <row r="82" customFormat="false" ht="15" hidden="false" customHeight="false" outlineLevel="0" collapsed="false">
      <c r="A82" s="41" t="s">
        <v>177</v>
      </c>
      <c r="B82" s="14" t="s">
        <v>410</v>
      </c>
      <c r="C82" s="14" t="s">
        <v>494</v>
      </c>
      <c r="D82" s="15" t="n">
        <v>1</v>
      </c>
      <c r="E82" s="42" t="s">
        <v>20</v>
      </c>
      <c r="F82" s="15" t="s">
        <v>380</v>
      </c>
      <c r="G82" s="14" t="s">
        <v>495</v>
      </c>
    </row>
    <row r="84" customFormat="false" ht="15" hidden="false" customHeight="false" outlineLevel="0" collapsed="false">
      <c r="A84" s="44" t="s">
        <v>181</v>
      </c>
      <c r="B84" s="19" t="s">
        <v>496</v>
      </c>
      <c r="C84" s="19"/>
      <c r="D84" s="19"/>
      <c r="E84" s="19"/>
      <c r="F84" s="19"/>
      <c r="G84" s="19"/>
    </row>
    <row r="85" customFormat="false" ht="30" hidden="false" customHeight="true" outlineLevel="0" collapsed="false">
      <c r="A85" s="45" t="s">
        <v>181</v>
      </c>
      <c r="B85" s="46" t="s">
        <v>497</v>
      </c>
      <c r="C85" s="46"/>
      <c r="D85" s="46"/>
      <c r="E85" s="46"/>
      <c r="F85" s="46"/>
      <c r="G85" s="46"/>
    </row>
    <row r="86" customFormat="false" ht="15" hidden="false" customHeight="false" outlineLevel="0" collapsed="false">
      <c r="A86" s="41" t="s">
        <v>181</v>
      </c>
      <c r="B86" s="14" t="s">
        <v>392</v>
      </c>
      <c r="C86" s="14" t="s">
        <v>393</v>
      </c>
      <c r="D86" s="15" t="n">
        <v>1</v>
      </c>
      <c r="E86" s="15" t="s">
        <v>379</v>
      </c>
      <c r="F86" s="15" t="s">
        <v>394</v>
      </c>
      <c r="G86" s="14"/>
    </row>
    <row r="87" customFormat="false" ht="15" hidden="false" customHeight="false" outlineLevel="0" collapsed="false">
      <c r="A87" s="41" t="s">
        <v>181</v>
      </c>
      <c r="B87" s="14" t="s">
        <v>419</v>
      </c>
      <c r="C87" s="14" t="s">
        <v>424</v>
      </c>
      <c r="D87" s="15" t="n">
        <v>1</v>
      </c>
      <c r="E87" s="15" t="s">
        <v>379</v>
      </c>
      <c r="F87" s="15" t="s">
        <v>394</v>
      </c>
      <c r="G87" s="14"/>
    </row>
    <row r="88" customFormat="false" ht="15" hidden="false" customHeight="false" outlineLevel="0" collapsed="false">
      <c r="A88" s="41" t="s">
        <v>181</v>
      </c>
      <c r="B88" s="14" t="s">
        <v>396</v>
      </c>
      <c r="C88" s="14" t="s">
        <v>498</v>
      </c>
      <c r="D88" s="15" t="n">
        <v>1</v>
      </c>
      <c r="E88" s="15" t="s">
        <v>379</v>
      </c>
      <c r="F88" s="15" t="s">
        <v>394</v>
      </c>
      <c r="G88" s="14" t="s">
        <v>499</v>
      </c>
    </row>
    <row r="89" customFormat="false" ht="15" hidden="false" customHeight="false" outlineLevel="0" collapsed="false">
      <c r="A89" s="41" t="s">
        <v>181</v>
      </c>
      <c r="B89" s="14" t="s">
        <v>396</v>
      </c>
      <c r="C89" s="14" t="s">
        <v>500</v>
      </c>
      <c r="D89" s="15" t="n">
        <v>1</v>
      </c>
      <c r="E89" s="15" t="s">
        <v>379</v>
      </c>
      <c r="F89" s="15" t="s">
        <v>394</v>
      </c>
      <c r="G89" s="14"/>
    </row>
    <row r="90" customFormat="false" ht="15" hidden="false" customHeight="false" outlineLevel="0" collapsed="false">
      <c r="A90" s="41" t="s">
        <v>181</v>
      </c>
      <c r="B90" s="14" t="s">
        <v>377</v>
      </c>
      <c r="C90" s="14" t="s">
        <v>478</v>
      </c>
      <c r="D90" s="15" t="n">
        <v>1</v>
      </c>
      <c r="E90" s="15" t="s">
        <v>379</v>
      </c>
      <c r="F90" s="15" t="s">
        <v>394</v>
      </c>
      <c r="G90" s="14"/>
    </row>
    <row r="91" customFormat="false" ht="15" hidden="false" customHeight="false" outlineLevel="0" collapsed="false">
      <c r="A91" s="41" t="s">
        <v>181</v>
      </c>
      <c r="B91" s="14" t="s">
        <v>398</v>
      </c>
      <c r="C91" s="14" t="s">
        <v>501</v>
      </c>
      <c r="D91" s="15" t="n">
        <v>1</v>
      </c>
      <c r="E91" s="15" t="s">
        <v>379</v>
      </c>
      <c r="F91" s="15" t="s">
        <v>394</v>
      </c>
      <c r="G91" s="14"/>
    </row>
    <row r="92" customFormat="false" ht="15" hidden="false" customHeight="false" outlineLevel="0" collapsed="false">
      <c r="A92" s="41" t="s">
        <v>181</v>
      </c>
      <c r="B92" s="14" t="s">
        <v>381</v>
      </c>
      <c r="C92" s="14" t="s">
        <v>502</v>
      </c>
      <c r="D92" s="15" t="n">
        <v>1</v>
      </c>
      <c r="E92" s="15" t="s">
        <v>379</v>
      </c>
      <c r="F92" s="15" t="s">
        <v>380</v>
      </c>
      <c r="G92" s="14" t="s">
        <v>503</v>
      </c>
    </row>
    <row r="93" customFormat="false" ht="15" hidden="false" customHeight="false" outlineLevel="0" collapsed="false">
      <c r="A93" s="41" t="s">
        <v>181</v>
      </c>
      <c r="B93" s="14" t="s">
        <v>383</v>
      </c>
      <c r="C93" s="14" t="s">
        <v>402</v>
      </c>
      <c r="D93" s="15" t="n">
        <v>1</v>
      </c>
      <c r="E93" s="15" t="s">
        <v>379</v>
      </c>
      <c r="F93" s="15" t="s">
        <v>394</v>
      </c>
      <c r="G93" s="14"/>
    </row>
    <row r="94" customFormat="false" ht="15" hidden="false" customHeight="false" outlineLevel="0" collapsed="false">
      <c r="A94" s="41" t="s">
        <v>181</v>
      </c>
      <c r="B94" s="14" t="s">
        <v>383</v>
      </c>
      <c r="C94" s="14" t="s">
        <v>403</v>
      </c>
      <c r="D94" s="15" t="n">
        <v>12</v>
      </c>
      <c r="E94" s="15" t="s">
        <v>379</v>
      </c>
      <c r="F94" s="15" t="s">
        <v>394</v>
      </c>
      <c r="G94" s="14"/>
    </row>
    <row r="95" customFormat="false" ht="15" hidden="false" customHeight="false" outlineLevel="0" collapsed="false">
      <c r="A95" s="41" t="s">
        <v>181</v>
      </c>
      <c r="B95" s="14" t="s">
        <v>383</v>
      </c>
      <c r="C95" s="14" t="s">
        <v>421</v>
      </c>
      <c r="D95" s="15" t="n">
        <v>8</v>
      </c>
      <c r="E95" s="15" t="s">
        <v>379</v>
      </c>
      <c r="F95" s="15" t="s">
        <v>394</v>
      </c>
      <c r="G95" s="14"/>
    </row>
    <row r="96" customFormat="false" ht="15" hidden="false" customHeight="false" outlineLevel="0" collapsed="false">
      <c r="A96" s="41" t="s">
        <v>181</v>
      </c>
      <c r="B96" s="14" t="s">
        <v>404</v>
      </c>
      <c r="C96" s="14" t="s">
        <v>405</v>
      </c>
      <c r="D96" s="15" t="n">
        <v>1</v>
      </c>
      <c r="E96" s="15" t="s">
        <v>379</v>
      </c>
      <c r="F96" s="15" t="s">
        <v>394</v>
      </c>
      <c r="G96" s="14"/>
    </row>
    <row r="98" customFormat="false" ht="15" hidden="false" customHeight="false" outlineLevel="0" collapsed="false">
      <c r="A98" s="44" t="s">
        <v>185</v>
      </c>
      <c r="B98" s="19" t="s">
        <v>504</v>
      </c>
      <c r="C98" s="19"/>
      <c r="D98" s="19"/>
      <c r="E98" s="19"/>
      <c r="F98" s="19"/>
      <c r="G98" s="19"/>
    </row>
    <row r="99" customFormat="false" ht="30" hidden="false" customHeight="true" outlineLevel="0" collapsed="false">
      <c r="A99" s="45" t="s">
        <v>185</v>
      </c>
      <c r="B99" s="46" t="s">
        <v>505</v>
      </c>
      <c r="C99" s="46"/>
      <c r="D99" s="46"/>
      <c r="E99" s="46"/>
      <c r="F99" s="46"/>
      <c r="G99" s="46"/>
    </row>
    <row r="100" customFormat="false" ht="15" hidden="false" customHeight="false" outlineLevel="0" collapsed="false">
      <c r="A100" s="41" t="s">
        <v>185</v>
      </c>
      <c r="B100" s="14" t="s">
        <v>392</v>
      </c>
      <c r="C100" s="14" t="s">
        <v>393</v>
      </c>
      <c r="D100" s="15" t="n">
        <v>1</v>
      </c>
      <c r="E100" s="15" t="s">
        <v>379</v>
      </c>
      <c r="F100" s="15" t="s">
        <v>394</v>
      </c>
      <c r="G100" s="14"/>
    </row>
    <row r="101" customFormat="false" ht="15" hidden="false" customHeight="false" outlineLevel="0" collapsed="false">
      <c r="A101" s="41" t="s">
        <v>185</v>
      </c>
      <c r="B101" s="14" t="s">
        <v>419</v>
      </c>
      <c r="C101" s="14" t="s">
        <v>420</v>
      </c>
      <c r="D101" s="15" t="n">
        <v>2</v>
      </c>
      <c r="E101" s="15" t="s">
        <v>379</v>
      </c>
      <c r="F101" s="15" t="s">
        <v>394</v>
      </c>
      <c r="G101" s="14"/>
    </row>
    <row r="102" customFormat="false" ht="15" hidden="false" customHeight="false" outlineLevel="0" collapsed="false">
      <c r="A102" s="41" t="s">
        <v>185</v>
      </c>
      <c r="B102" s="14" t="s">
        <v>396</v>
      </c>
      <c r="C102" s="14" t="s">
        <v>436</v>
      </c>
      <c r="D102" s="15" t="n">
        <v>1</v>
      </c>
      <c r="E102" s="15" t="s">
        <v>379</v>
      </c>
      <c r="F102" s="15" t="s">
        <v>394</v>
      </c>
      <c r="G102" s="14"/>
    </row>
    <row r="103" customFormat="false" ht="15" hidden="false" customHeight="false" outlineLevel="0" collapsed="false">
      <c r="A103" s="41" t="s">
        <v>185</v>
      </c>
      <c r="B103" s="14" t="s">
        <v>377</v>
      </c>
      <c r="C103" s="14" t="s">
        <v>378</v>
      </c>
      <c r="D103" s="15" t="n">
        <v>1</v>
      </c>
      <c r="E103" s="15" t="s">
        <v>379</v>
      </c>
      <c r="F103" s="15" t="s">
        <v>380</v>
      </c>
      <c r="G103" s="14"/>
    </row>
    <row r="104" customFormat="false" ht="15" hidden="false" customHeight="false" outlineLevel="0" collapsed="false">
      <c r="A104" s="41" t="s">
        <v>185</v>
      </c>
      <c r="B104" s="14" t="s">
        <v>381</v>
      </c>
      <c r="C104" s="14" t="s">
        <v>506</v>
      </c>
      <c r="D104" s="15" t="n">
        <v>1</v>
      </c>
      <c r="E104" s="15" t="s">
        <v>379</v>
      </c>
      <c r="F104" s="15" t="s">
        <v>394</v>
      </c>
      <c r="G104" s="14"/>
    </row>
    <row r="105" customFormat="false" ht="15" hidden="false" customHeight="false" outlineLevel="0" collapsed="false">
      <c r="A105" s="41" t="s">
        <v>185</v>
      </c>
      <c r="B105" s="14" t="s">
        <v>383</v>
      </c>
      <c r="C105" s="14" t="s">
        <v>402</v>
      </c>
      <c r="D105" s="15" t="n">
        <v>1</v>
      </c>
      <c r="E105" s="15" t="s">
        <v>379</v>
      </c>
      <c r="F105" s="15" t="s">
        <v>394</v>
      </c>
      <c r="G105" s="14"/>
    </row>
    <row r="106" customFormat="false" ht="15" hidden="false" customHeight="false" outlineLevel="0" collapsed="false">
      <c r="A106" s="41" t="s">
        <v>185</v>
      </c>
      <c r="B106" s="14" t="s">
        <v>383</v>
      </c>
      <c r="C106" s="14" t="s">
        <v>403</v>
      </c>
      <c r="D106" s="15" t="n">
        <v>10</v>
      </c>
      <c r="E106" s="15" t="s">
        <v>379</v>
      </c>
      <c r="F106" s="15" t="s">
        <v>394</v>
      </c>
      <c r="G106" s="14"/>
    </row>
    <row r="107" customFormat="false" ht="15" hidden="false" customHeight="false" outlineLevel="0" collapsed="false">
      <c r="A107" s="41" t="s">
        <v>185</v>
      </c>
      <c r="B107" s="14" t="s">
        <v>383</v>
      </c>
      <c r="C107" s="14" t="s">
        <v>421</v>
      </c>
      <c r="D107" s="15" t="n">
        <v>6</v>
      </c>
      <c r="E107" s="15" t="s">
        <v>379</v>
      </c>
      <c r="F107" s="15" t="s">
        <v>394</v>
      </c>
      <c r="G107" s="14"/>
    </row>
    <row r="108" customFormat="false" ht="15" hidden="false" customHeight="false" outlineLevel="0" collapsed="false">
      <c r="A108" s="41" t="s">
        <v>185</v>
      </c>
      <c r="B108" s="14" t="s">
        <v>404</v>
      </c>
      <c r="C108" s="14" t="s">
        <v>475</v>
      </c>
      <c r="D108" s="15" t="n">
        <v>1</v>
      </c>
      <c r="E108" s="15" t="s">
        <v>379</v>
      </c>
      <c r="F108" s="15" t="s">
        <v>394</v>
      </c>
      <c r="G108" s="14"/>
    </row>
    <row r="109" customFormat="false" ht="15" hidden="false" customHeight="false" outlineLevel="0" collapsed="false">
      <c r="A109" s="41" t="s">
        <v>185</v>
      </c>
      <c r="B109" s="14" t="s">
        <v>404</v>
      </c>
      <c r="C109" s="14" t="s">
        <v>405</v>
      </c>
      <c r="D109" s="15" t="n">
        <v>1</v>
      </c>
      <c r="E109" s="15" t="s">
        <v>379</v>
      </c>
      <c r="F109" s="15" t="s">
        <v>394</v>
      </c>
      <c r="G109" s="14"/>
    </row>
    <row r="110" customFormat="false" ht="15" hidden="false" customHeight="false" outlineLevel="0" collapsed="false">
      <c r="A110" s="41" t="s">
        <v>185</v>
      </c>
      <c r="B110" s="14" t="s">
        <v>386</v>
      </c>
      <c r="C110" s="14" t="s">
        <v>437</v>
      </c>
      <c r="D110" s="15" t="n">
        <v>1</v>
      </c>
      <c r="E110" s="15" t="s">
        <v>379</v>
      </c>
      <c r="F110" s="15" t="s">
        <v>380</v>
      </c>
      <c r="G110" s="14" t="s">
        <v>507</v>
      </c>
    </row>
    <row r="112" customFormat="false" ht="15" hidden="false" customHeight="false" outlineLevel="0" collapsed="false">
      <c r="A112" s="44" t="s">
        <v>189</v>
      </c>
      <c r="B112" s="19" t="s">
        <v>508</v>
      </c>
      <c r="C112" s="19"/>
      <c r="D112" s="19"/>
      <c r="E112" s="19"/>
      <c r="F112" s="19"/>
      <c r="G112" s="19"/>
    </row>
    <row r="113" customFormat="false" ht="30" hidden="false" customHeight="true" outlineLevel="0" collapsed="false">
      <c r="A113" s="45" t="s">
        <v>189</v>
      </c>
      <c r="B113" s="46" t="s">
        <v>509</v>
      </c>
      <c r="C113" s="46"/>
      <c r="D113" s="46"/>
      <c r="E113" s="46"/>
      <c r="F113" s="46"/>
      <c r="G113" s="46"/>
    </row>
    <row r="114" customFormat="false" ht="15" hidden="false" customHeight="false" outlineLevel="0" collapsed="false">
      <c r="A114" s="41" t="s">
        <v>189</v>
      </c>
      <c r="B114" s="14" t="s">
        <v>392</v>
      </c>
      <c r="C114" s="14" t="s">
        <v>393</v>
      </c>
      <c r="D114" s="15" t="n">
        <v>1</v>
      </c>
      <c r="E114" s="15" t="s">
        <v>379</v>
      </c>
      <c r="F114" s="15" t="s">
        <v>394</v>
      </c>
      <c r="G114" s="14"/>
    </row>
    <row r="115" customFormat="false" ht="15" hidden="false" customHeight="false" outlineLevel="0" collapsed="false">
      <c r="A115" s="41" t="s">
        <v>189</v>
      </c>
      <c r="B115" s="14" t="s">
        <v>419</v>
      </c>
      <c r="C115" s="14" t="s">
        <v>433</v>
      </c>
      <c r="D115" s="15" t="n">
        <v>1</v>
      </c>
      <c r="E115" s="15" t="s">
        <v>379</v>
      </c>
      <c r="F115" s="15" t="s">
        <v>394</v>
      </c>
      <c r="G115" s="14"/>
    </row>
    <row r="116" customFormat="false" ht="15" hidden="false" customHeight="false" outlineLevel="0" collapsed="false">
      <c r="A116" s="41" t="s">
        <v>189</v>
      </c>
      <c r="B116" s="14" t="s">
        <v>396</v>
      </c>
      <c r="C116" s="14" t="s">
        <v>397</v>
      </c>
      <c r="D116" s="15" t="n">
        <v>1</v>
      </c>
      <c r="E116" s="15" t="s">
        <v>379</v>
      </c>
      <c r="F116" s="15" t="s">
        <v>394</v>
      </c>
      <c r="G116" s="14"/>
    </row>
    <row r="117" customFormat="false" ht="15" hidden="false" customHeight="false" outlineLevel="0" collapsed="false">
      <c r="A117" s="41" t="s">
        <v>189</v>
      </c>
      <c r="B117" s="14" t="s">
        <v>377</v>
      </c>
      <c r="C117" s="14" t="s">
        <v>378</v>
      </c>
      <c r="D117" s="15" t="n">
        <v>2</v>
      </c>
      <c r="E117" s="15" t="s">
        <v>379</v>
      </c>
      <c r="F117" s="15" t="s">
        <v>380</v>
      </c>
      <c r="G117" s="14" t="s">
        <v>493</v>
      </c>
    </row>
    <row r="118" customFormat="false" ht="15" hidden="false" customHeight="false" outlineLevel="0" collapsed="false">
      <c r="A118" s="41" t="s">
        <v>189</v>
      </c>
      <c r="B118" s="14" t="s">
        <v>398</v>
      </c>
      <c r="C118" s="14" t="s">
        <v>399</v>
      </c>
      <c r="D118" s="15" t="n">
        <v>3</v>
      </c>
      <c r="E118" s="15" t="s">
        <v>379</v>
      </c>
      <c r="F118" s="15" t="s">
        <v>394</v>
      </c>
      <c r="G118" s="14"/>
    </row>
    <row r="119" customFormat="false" ht="15" hidden="false" customHeight="false" outlineLevel="0" collapsed="false">
      <c r="A119" s="41" t="s">
        <v>189</v>
      </c>
      <c r="B119" s="14" t="s">
        <v>398</v>
      </c>
      <c r="C119" s="14" t="s">
        <v>401</v>
      </c>
      <c r="D119" s="15" t="n">
        <v>3</v>
      </c>
      <c r="E119" s="15" t="s">
        <v>379</v>
      </c>
      <c r="F119" s="15" t="s">
        <v>380</v>
      </c>
      <c r="G119" s="14"/>
    </row>
    <row r="120" customFormat="false" ht="15" hidden="false" customHeight="false" outlineLevel="0" collapsed="false">
      <c r="A120" s="41" t="s">
        <v>189</v>
      </c>
      <c r="B120" s="14" t="s">
        <v>398</v>
      </c>
      <c r="C120" s="14" t="s">
        <v>400</v>
      </c>
      <c r="D120" s="15" t="n">
        <v>2</v>
      </c>
      <c r="E120" s="15" t="s">
        <v>379</v>
      </c>
      <c r="F120" s="15" t="s">
        <v>380</v>
      </c>
      <c r="G120" s="14"/>
    </row>
    <row r="121" customFormat="false" ht="15" hidden="false" customHeight="false" outlineLevel="0" collapsed="false">
      <c r="A121" s="41" t="s">
        <v>189</v>
      </c>
      <c r="B121" s="14" t="s">
        <v>383</v>
      </c>
      <c r="C121" s="14" t="s">
        <v>402</v>
      </c>
      <c r="D121" s="15" t="n">
        <v>1</v>
      </c>
      <c r="E121" s="15" t="s">
        <v>379</v>
      </c>
      <c r="F121" s="15" t="s">
        <v>394</v>
      </c>
      <c r="G121" s="14"/>
    </row>
    <row r="122" customFormat="false" ht="15" hidden="false" customHeight="false" outlineLevel="0" collapsed="false">
      <c r="A122" s="41" t="s">
        <v>189</v>
      </c>
      <c r="B122" s="14" t="s">
        <v>383</v>
      </c>
      <c r="C122" s="14" t="s">
        <v>403</v>
      </c>
      <c r="D122" s="15" t="n">
        <v>14</v>
      </c>
      <c r="E122" s="15" t="s">
        <v>379</v>
      </c>
      <c r="F122" s="15" t="s">
        <v>394</v>
      </c>
      <c r="G122" s="14"/>
    </row>
    <row r="123" customFormat="false" ht="15" hidden="false" customHeight="false" outlineLevel="0" collapsed="false">
      <c r="A123" s="41" t="s">
        <v>189</v>
      </c>
      <c r="B123" s="14" t="s">
        <v>383</v>
      </c>
      <c r="C123" s="14" t="s">
        <v>421</v>
      </c>
      <c r="D123" s="15" t="n">
        <v>3</v>
      </c>
      <c r="E123" s="15" t="s">
        <v>379</v>
      </c>
      <c r="F123" s="15" t="s">
        <v>394</v>
      </c>
      <c r="G123" s="14"/>
    </row>
    <row r="124" customFormat="false" ht="15" hidden="false" customHeight="false" outlineLevel="0" collapsed="false">
      <c r="A124" s="41" t="s">
        <v>189</v>
      </c>
      <c r="B124" s="14" t="s">
        <v>404</v>
      </c>
      <c r="C124" s="14" t="s">
        <v>405</v>
      </c>
      <c r="D124" s="15" t="n">
        <v>1</v>
      </c>
      <c r="E124" s="15" t="s">
        <v>379</v>
      </c>
      <c r="F124" s="15" t="s">
        <v>394</v>
      </c>
      <c r="G124" s="14"/>
    </row>
    <row r="126" customFormat="false" ht="15" hidden="false" customHeight="false" outlineLevel="0" collapsed="false">
      <c r="A126" s="44" t="s">
        <v>192</v>
      </c>
      <c r="B126" s="19" t="s">
        <v>510</v>
      </c>
      <c r="C126" s="19"/>
      <c r="D126" s="19"/>
      <c r="E126" s="19"/>
      <c r="F126" s="19"/>
      <c r="G126" s="19"/>
    </row>
    <row r="127" customFormat="false" ht="30" hidden="false" customHeight="true" outlineLevel="0" collapsed="false">
      <c r="A127" s="45" t="s">
        <v>192</v>
      </c>
      <c r="B127" s="46" t="s">
        <v>511</v>
      </c>
      <c r="C127" s="46"/>
      <c r="D127" s="46"/>
      <c r="E127" s="46"/>
      <c r="F127" s="46"/>
      <c r="G127" s="46"/>
    </row>
    <row r="128" customFormat="false" ht="15" hidden="false" customHeight="false" outlineLevel="0" collapsed="false">
      <c r="A128" s="41" t="s">
        <v>192</v>
      </c>
      <c r="B128" s="14" t="s">
        <v>404</v>
      </c>
      <c r="C128" s="14" t="s">
        <v>405</v>
      </c>
      <c r="D128" s="15" t="n">
        <v>1</v>
      </c>
      <c r="E128" s="15" t="s">
        <v>379</v>
      </c>
      <c r="F128" s="15" t="s">
        <v>394</v>
      </c>
      <c r="G128" s="14"/>
    </row>
    <row r="129" customFormat="false" ht="15" hidden="false" customHeight="false" outlineLevel="0" collapsed="false">
      <c r="A129" s="41" t="s">
        <v>192</v>
      </c>
      <c r="B129" s="14" t="s">
        <v>404</v>
      </c>
      <c r="C129" s="14" t="s">
        <v>512</v>
      </c>
      <c r="D129" s="15" t="n">
        <v>1</v>
      </c>
      <c r="E129" s="42" t="s">
        <v>20</v>
      </c>
      <c r="F129" s="15" t="s">
        <v>394</v>
      </c>
      <c r="G129" s="14"/>
    </row>
    <row r="130" customFormat="false" ht="15" hidden="false" customHeight="false" outlineLevel="0" collapsed="false">
      <c r="A130" s="41" t="s">
        <v>192</v>
      </c>
      <c r="B130" s="14" t="s">
        <v>404</v>
      </c>
      <c r="C130" s="14" t="s">
        <v>513</v>
      </c>
      <c r="D130" s="15" t="n">
        <v>1</v>
      </c>
      <c r="E130" s="42" t="s">
        <v>20</v>
      </c>
      <c r="F130" s="15" t="s">
        <v>380</v>
      </c>
      <c r="G130" s="14" t="s">
        <v>514</v>
      </c>
    </row>
    <row r="132" customFormat="false" ht="15" hidden="false" customHeight="false" outlineLevel="0" collapsed="false">
      <c r="A132" s="44" t="s">
        <v>197</v>
      </c>
      <c r="B132" s="19" t="s">
        <v>515</v>
      </c>
      <c r="C132" s="19"/>
      <c r="D132" s="19"/>
      <c r="E132" s="19"/>
      <c r="F132" s="19"/>
      <c r="G132" s="19"/>
    </row>
    <row r="133" customFormat="false" ht="30" hidden="false" customHeight="true" outlineLevel="0" collapsed="false">
      <c r="A133" s="45" t="s">
        <v>197</v>
      </c>
      <c r="B133" s="46" t="s">
        <v>516</v>
      </c>
      <c r="C133" s="46"/>
      <c r="D133" s="46"/>
      <c r="E133" s="46"/>
      <c r="F133" s="46"/>
      <c r="G133" s="46"/>
    </row>
    <row r="134" customFormat="false" ht="15" hidden="false" customHeight="false" outlineLevel="0" collapsed="false">
      <c r="A134" s="41" t="s">
        <v>197</v>
      </c>
      <c r="B134" s="14" t="s">
        <v>392</v>
      </c>
      <c r="C134" s="14" t="s">
        <v>393</v>
      </c>
      <c r="D134" s="15" t="n">
        <v>1</v>
      </c>
      <c r="E134" s="15" t="s">
        <v>379</v>
      </c>
      <c r="F134" s="15" t="s">
        <v>394</v>
      </c>
      <c r="G134" s="14"/>
    </row>
    <row r="135" customFormat="false" ht="15" hidden="false" customHeight="false" outlineLevel="0" collapsed="false">
      <c r="A135" s="41" t="s">
        <v>197</v>
      </c>
      <c r="B135" s="14" t="s">
        <v>447</v>
      </c>
      <c r="C135" s="14" t="s">
        <v>517</v>
      </c>
      <c r="D135" s="15" t="n">
        <v>1</v>
      </c>
      <c r="E135" s="15" t="s">
        <v>379</v>
      </c>
      <c r="F135" s="15" t="s">
        <v>394</v>
      </c>
      <c r="G135" s="14"/>
    </row>
    <row r="136" customFormat="false" ht="15" hidden="false" customHeight="false" outlineLevel="0" collapsed="false">
      <c r="A136" s="41" t="s">
        <v>197</v>
      </c>
      <c r="B136" s="14" t="s">
        <v>419</v>
      </c>
      <c r="C136" s="14" t="s">
        <v>518</v>
      </c>
      <c r="D136" s="15" t="n">
        <v>2</v>
      </c>
      <c r="E136" s="15" t="s">
        <v>379</v>
      </c>
      <c r="F136" s="15" t="s">
        <v>394</v>
      </c>
      <c r="G136" s="14"/>
    </row>
    <row r="137" customFormat="false" ht="15" hidden="false" customHeight="false" outlineLevel="0" collapsed="false">
      <c r="A137" s="41" t="s">
        <v>197</v>
      </c>
      <c r="B137" s="14" t="s">
        <v>396</v>
      </c>
      <c r="C137" s="14" t="s">
        <v>500</v>
      </c>
      <c r="D137" s="15" t="n">
        <v>1</v>
      </c>
      <c r="E137" s="15" t="s">
        <v>379</v>
      </c>
      <c r="F137" s="15" t="s">
        <v>394</v>
      </c>
      <c r="G137" s="14"/>
    </row>
    <row r="138" customFormat="false" ht="15" hidden="false" customHeight="false" outlineLevel="0" collapsed="false">
      <c r="A138" s="41" t="s">
        <v>197</v>
      </c>
      <c r="B138" s="14" t="s">
        <v>381</v>
      </c>
      <c r="C138" s="14" t="s">
        <v>502</v>
      </c>
      <c r="D138" s="15" t="n">
        <v>1</v>
      </c>
      <c r="E138" s="15" t="s">
        <v>379</v>
      </c>
      <c r="F138" s="15" t="s">
        <v>380</v>
      </c>
      <c r="G138" s="14"/>
    </row>
    <row r="139" customFormat="false" ht="15" hidden="false" customHeight="false" outlineLevel="0" collapsed="false">
      <c r="A139" s="41" t="s">
        <v>197</v>
      </c>
      <c r="B139" s="14" t="s">
        <v>383</v>
      </c>
      <c r="C139" s="14" t="s">
        <v>421</v>
      </c>
      <c r="D139" s="15" t="n">
        <v>10</v>
      </c>
      <c r="E139" s="15" t="s">
        <v>379</v>
      </c>
      <c r="F139" s="15" t="s">
        <v>394</v>
      </c>
      <c r="G139" s="14"/>
    </row>
    <row r="140" customFormat="false" ht="15" hidden="false" customHeight="false" outlineLevel="0" collapsed="false">
      <c r="A140" s="41" t="s">
        <v>197</v>
      </c>
      <c r="B140" s="14" t="s">
        <v>383</v>
      </c>
      <c r="C140" s="14" t="s">
        <v>403</v>
      </c>
      <c r="D140" s="15" t="n">
        <v>6</v>
      </c>
      <c r="E140" s="15" t="s">
        <v>379</v>
      </c>
      <c r="F140" s="15" t="s">
        <v>394</v>
      </c>
      <c r="G140" s="14"/>
    </row>
    <row r="141" customFormat="false" ht="15" hidden="false" customHeight="false" outlineLevel="0" collapsed="false">
      <c r="A141" s="41" t="s">
        <v>197</v>
      </c>
      <c r="B141" s="14" t="s">
        <v>404</v>
      </c>
      <c r="C141" s="14" t="s">
        <v>519</v>
      </c>
      <c r="D141" s="15" t="n">
        <v>1</v>
      </c>
      <c r="E141" s="15" t="s">
        <v>379</v>
      </c>
      <c r="F141" s="15" t="s">
        <v>394</v>
      </c>
      <c r="G141" s="14"/>
    </row>
    <row r="142" customFormat="false" ht="15" hidden="false" customHeight="false" outlineLevel="0" collapsed="false">
      <c r="A142" s="41" t="s">
        <v>197</v>
      </c>
      <c r="B142" s="14" t="s">
        <v>404</v>
      </c>
      <c r="C142" s="14" t="s">
        <v>405</v>
      </c>
      <c r="D142" s="15" t="n">
        <v>1</v>
      </c>
      <c r="E142" s="15" t="s">
        <v>379</v>
      </c>
      <c r="F142" s="15" t="s">
        <v>394</v>
      </c>
      <c r="G142" s="14"/>
    </row>
    <row r="144" customFormat="false" ht="15" hidden="false" customHeight="false" outlineLevel="0" collapsed="false">
      <c r="A144" s="44" t="s">
        <v>200</v>
      </c>
      <c r="B144" s="19" t="s">
        <v>520</v>
      </c>
      <c r="C144" s="19"/>
      <c r="D144" s="19"/>
      <c r="E144" s="19"/>
      <c r="F144" s="19"/>
      <c r="G144" s="19"/>
    </row>
    <row r="145" customFormat="false" ht="30" hidden="false" customHeight="true" outlineLevel="0" collapsed="false">
      <c r="A145" s="45" t="s">
        <v>200</v>
      </c>
      <c r="B145" s="46" t="s">
        <v>521</v>
      </c>
      <c r="C145" s="46"/>
      <c r="D145" s="46"/>
      <c r="E145" s="46"/>
      <c r="F145" s="46"/>
      <c r="G145" s="46"/>
    </row>
    <row r="146" customFormat="false" ht="15" hidden="false" customHeight="false" outlineLevel="0" collapsed="false">
      <c r="A146" s="41" t="s">
        <v>200</v>
      </c>
      <c r="B146" s="14" t="s">
        <v>392</v>
      </c>
      <c r="C146" s="14" t="s">
        <v>393</v>
      </c>
      <c r="D146" s="15" t="n">
        <v>1</v>
      </c>
      <c r="E146" s="15" t="s">
        <v>379</v>
      </c>
      <c r="F146" s="15" t="s">
        <v>394</v>
      </c>
      <c r="G146" s="14"/>
    </row>
    <row r="147" customFormat="false" ht="15" hidden="false" customHeight="false" outlineLevel="0" collapsed="false">
      <c r="A147" s="41" t="s">
        <v>200</v>
      </c>
      <c r="B147" s="14" t="s">
        <v>522</v>
      </c>
      <c r="C147" s="14" t="s">
        <v>523</v>
      </c>
      <c r="D147" s="15" t="n">
        <v>1</v>
      </c>
      <c r="E147" s="15" t="s">
        <v>379</v>
      </c>
      <c r="F147" s="15" t="s">
        <v>394</v>
      </c>
      <c r="G147" s="14"/>
    </row>
    <row r="148" customFormat="false" ht="15" hidden="false" customHeight="false" outlineLevel="0" collapsed="false">
      <c r="A148" s="41" t="s">
        <v>200</v>
      </c>
      <c r="B148" s="14" t="s">
        <v>396</v>
      </c>
      <c r="C148" s="14" t="s">
        <v>397</v>
      </c>
      <c r="D148" s="15" t="n">
        <v>1</v>
      </c>
      <c r="E148" s="15" t="s">
        <v>379</v>
      </c>
      <c r="F148" s="15" t="s">
        <v>394</v>
      </c>
      <c r="G148" s="14"/>
    </row>
    <row r="149" customFormat="false" ht="15" hidden="false" customHeight="false" outlineLevel="0" collapsed="false">
      <c r="A149" s="41" t="s">
        <v>200</v>
      </c>
      <c r="B149" s="14" t="s">
        <v>377</v>
      </c>
      <c r="C149" s="14" t="s">
        <v>524</v>
      </c>
      <c r="D149" s="15" t="n">
        <v>1</v>
      </c>
      <c r="E149" s="15" t="s">
        <v>379</v>
      </c>
      <c r="F149" s="15" t="s">
        <v>394</v>
      </c>
      <c r="G149" s="14"/>
    </row>
    <row r="150" customFormat="false" ht="15" hidden="false" customHeight="false" outlineLevel="0" collapsed="false">
      <c r="A150" s="41" t="s">
        <v>200</v>
      </c>
      <c r="B150" s="14" t="s">
        <v>398</v>
      </c>
      <c r="C150" s="14" t="s">
        <v>400</v>
      </c>
      <c r="D150" s="15" t="n">
        <v>3</v>
      </c>
      <c r="E150" s="15" t="s">
        <v>379</v>
      </c>
      <c r="F150" s="15" t="s">
        <v>380</v>
      </c>
      <c r="G150" s="14"/>
    </row>
    <row r="151" customFormat="false" ht="15" hidden="false" customHeight="false" outlineLevel="0" collapsed="false">
      <c r="A151" s="41" t="s">
        <v>200</v>
      </c>
      <c r="B151" s="14" t="s">
        <v>398</v>
      </c>
      <c r="C151" s="14" t="s">
        <v>525</v>
      </c>
      <c r="D151" s="15" t="n">
        <v>1</v>
      </c>
      <c r="E151" s="15" t="s">
        <v>379</v>
      </c>
      <c r="F151" s="15" t="s">
        <v>380</v>
      </c>
      <c r="G151" s="14" t="s">
        <v>526</v>
      </c>
    </row>
    <row r="152" customFormat="false" ht="15" hidden="false" customHeight="false" outlineLevel="0" collapsed="false">
      <c r="A152" s="41" t="s">
        <v>200</v>
      </c>
      <c r="B152" s="14" t="s">
        <v>398</v>
      </c>
      <c r="C152" s="14" t="s">
        <v>401</v>
      </c>
      <c r="D152" s="15" t="n">
        <v>1</v>
      </c>
      <c r="E152" s="15" t="s">
        <v>379</v>
      </c>
      <c r="F152" s="15" t="s">
        <v>380</v>
      </c>
      <c r="G152" s="14" t="s">
        <v>526</v>
      </c>
    </row>
    <row r="153" customFormat="false" ht="15" hidden="false" customHeight="false" outlineLevel="0" collapsed="false">
      <c r="A153" s="41" t="s">
        <v>200</v>
      </c>
      <c r="B153" s="14" t="s">
        <v>383</v>
      </c>
      <c r="C153" s="14" t="s">
        <v>402</v>
      </c>
      <c r="D153" s="15" t="n">
        <v>1</v>
      </c>
      <c r="E153" s="15" t="s">
        <v>379</v>
      </c>
      <c r="F153" s="15" t="s">
        <v>394</v>
      </c>
      <c r="G153" s="14"/>
    </row>
    <row r="154" customFormat="false" ht="15" hidden="false" customHeight="false" outlineLevel="0" collapsed="false">
      <c r="A154" s="41" t="s">
        <v>200</v>
      </c>
      <c r="B154" s="14" t="s">
        <v>383</v>
      </c>
      <c r="C154" s="14" t="s">
        <v>403</v>
      </c>
      <c r="D154" s="15" t="n">
        <v>10</v>
      </c>
      <c r="E154" s="15" t="s">
        <v>379</v>
      </c>
      <c r="F154" s="15" t="s">
        <v>394</v>
      </c>
      <c r="G154" s="14"/>
    </row>
    <row r="155" customFormat="false" ht="15" hidden="false" customHeight="false" outlineLevel="0" collapsed="false">
      <c r="A155" s="41" t="s">
        <v>200</v>
      </c>
      <c r="B155" s="14" t="s">
        <v>383</v>
      </c>
      <c r="C155" s="14" t="s">
        <v>421</v>
      </c>
      <c r="D155" s="15" t="n">
        <v>4</v>
      </c>
      <c r="E155" s="15" t="s">
        <v>379</v>
      </c>
      <c r="F155" s="15" t="s">
        <v>394</v>
      </c>
      <c r="G155" s="14"/>
    </row>
    <row r="156" customFormat="false" ht="15" hidden="false" customHeight="false" outlineLevel="0" collapsed="false">
      <c r="A156" s="41" t="s">
        <v>200</v>
      </c>
      <c r="B156" s="14" t="s">
        <v>404</v>
      </c>
      <c r="C156" s="14" t="s">
        <v>527</v>
      </c>
      <c r="D156" s="15" t="n">
        <v>1</v>
      </c>
      <c r="E156" s="15" t="s">
        <v>379</v>
      </c>
      <c r="F156" s="15" t="s">
        <v>394</v>
      </c>
      <c r="G156" s="14"/>
    </row>
    <row r="157" customFormat="false" ht="15" hidden="false" customHeight="false" outlineLevel="0" collapsed="false">
      <c r="A157" s="41" t="s">
        <v>200</v>
      </c>
      <c r="B157" s="14" t="s">
        <v>404</v>
      </c>
      <c r="C157" s="14" t="s">
        <v>405</v>
      </c>
      <c r="D157" s="15" t="n">
        <v>1</v>
      </c>
      <c r="E157" s="15" t="s">
        <v>379</v>
      </c>
      <c r="F157" s="15" t="s">
        <v>394</v>
      </c>
      <c r="G157" s="14"/>
    </row>
    <row r="159" customFormat="false" ht="15" hidden="false" customHeight="false" outlineLevel="0" collapsed="false">
      <c r="A159" s="44" t="s">
        <v>206</v>
      </c>
      <c r="B159" s="19" t="s">
        <v>528</v>
      </c>
      <c r="C159" s="19"/>
      <c r="D159" s="19"/>
      <c r="E159" s="19"/>
      <c r="F159" s="19"/>
      <c r="G159" s="19"/>
    </row>
    <row r="160" customFormat="false" ht="30" hidden="false" customHeight="true" outlineLevel="0" collapsed="false">
      <c r="A160" s="45" t="s">
        <v>206</v>
      </c>
      <c r="B160" s="46" t="s">
        <v>529</v>
      </c>
      <c r="C160" s="46"/>
      <c r="D160" s="46"/>
      <c r="E160" s="46"/>
      <c r="F160" s="46"/>
      <c r="G160" s="46"/>
    </row>
    <row r="161" customFormat="false" ht="15" hidden="false" customHeight="false" outlineLevel="0" collapsed="false">
      <c r="A161" s="41" t="s">
        <v>206</v>
      </c>
      <c r="B161" s="14" t="s">
        <v>392</v>
      </c>
      <c r="C161" s="14" t="s">
        <v>393</v>
      </c>
      <c r="D161" s="15" t="n">
        <v>1</v>
      </c>
      <c r="E161" s="15" t="s">
        <v>379</v>
      </c>
      <c r="F161" s="15" t="s">
        <v>394</v>
      </c>
      <c r="G161" s="14"/>
    </row>
    <row r="162" customFormat="false" ht="15" hidden="false" customHeight="false" outlineLevel="0" collapsed="false">
      <c r="A162" s="41" t="s">
        <v>206</v>
      </c>
      <c r="B162" s="14" t="s">
        <v>419</v>
      </c>
      <c r="C162" s="14" t="s">
        <v>530</v>
      </c>
      <c r="D162" s="15" t="n">
        <v>1</v>
      </c>
      <c r="E162" s="15" t="s">
        <v>379</v>
      </c>
      <c r="F162" s="15" t="s">
        <v>394</v>
      </c>
      <c r="G162" s="14"/>
    </row>
    <row r="163" customFormat="false" ht="15" hidden="false" customHeight="false" outlineLevel="0" collapsed="false">
      <c r="A163" s="41" t="s">
        <v>206</v>
      </c>
      <c r="B163" s="14" t="s">
        <v>377</v>
      </c>
      <c r="C163" s="14" t="s">
        <v>478</v>
      </c>
      <c r="D163" s="15" t="n">
        <v>1</v>
      </c>
      <c r="E163" s="15" t="s">
        <v>379</v>
      </c>
      <c r="F163" s="15" t="s">
        <v>394</v>
      </c>
      <c r="G163" s="14"/>
    </row>
    <row r="164" customFormat="false" ht="15" hidden="false" customHeight="false" outlineLevel="0" collapsed="false">
      <c r="A164" s="41" t="s">
        <v>206</v>
      </c>
      <c r="B164" s="14" t="s">
        <v>398</v>
      </c>
      <c r="C164" s="14" t="s">
        <v>399</v>
      </c>
      <c r="D164" s="15" t="n">
        <v>1</v>
      </c>
      <c r="E164" s="15" t="s">
        <v>379</v>
      </c>
      <c r="F164" s="15" t="s">
        <v>394</v>
      </c>
      <c r="G164" s="14"/>
    </row>
    <row r="165" customFormat="false" ht="15" hidden="false" customHeight="false" outlineLevel="0" collapsed="false">
      <c r="A165" s="41" t="s">
        <v>206</v>
      </c>
      <c r="B165" s="14" t="s">
        <v>398</v>
      </c>
      <c r="C165" s="14" t="s">
        <v>401</v>
      </c>
      <c r="D165" s="15" t="n">
        <v>1</v>
      </c>
      <c r="E165" s="15" t="s">
        <v>379</v>
      </c>
      <c r="F165" s="15" t="s">
        <v>380</v>
      </c>
      <c r="G165" s="14"/>
    </row>
    <row r="166" customFormat="false" ht="15" hidden="false" customHeight="false" outlineLevel="0" collapsed="false">
      <c r="A166" s="41" t="s">
        <v>206</v>
      </c>
      <c r="B166" s="14" t="s">
        <v>383</v>
      </c>
      <c r="C166" s="14" t="s">
        <v>402</v>
      </c>
      <c r="D166" s="15" t="n">
        <v>1</v>
      </c>
      <c r="E166" s="15" t="s">
        <v>379</v>
      </c>
      <c r="F166" s="15" t="s">
        <v>394</v>
      </c>
      <c r="G166" s="14"/>
    </row>
    <row r="167" customFormat="false" ht="15" hidden="false" customHeight="false" outlineLevel="0" collapsed="false">
      <c r="A167" s="41" t="s">
        <v>206</v>
      </c>
      <c r="B167" s="14" t="s">
        <v>383</v>
      </c>
      <c r="C167" s="14" t="s">
        <v>403</v>
      </c>
      <c r="D167" s="15" t="n">
        <v>10</v>
      </c>
      <c r="E167" s="15" t="s">
        <v>379</v>
      </c>
      <c r="F167" s="15" t="s">
        <v>394</v>
      </c>
      <c r="G167" s="14"/>
    </row>
    <row r="168" customFormat="false" ht="15" hidden="false" customHeight="false" outlineLevel="0" collapsed="false">
      <c r="A168" s="41" t="s">
        <v>206</v>
      </c>
      <c r="B168" s="14" t="s">
        <v>383</v>
      </c>
      <c r="C168" s="14" t="s">
        <v>421</v>
      </c>
      <c r="D168" s="15" t="n">
        <v>6</v>
      </c>
      <c r="E168" s="15" t="s">
        <v>379</v>
      </c>
      <c r="F168" s="15" t="s">
        <v>394</v>
      </c>
      <c r="G168" s="14"/>
    </row>
    <row r="169" customFormat="false" ht="15" hidden="false" customHeight="false" outlineLevel="0" collapsed="false">
      <c r="A169" s="41" t="s">
        <v>206</v>
      </c>
      <c r="B169" s="14" t="s">
        <v>404</v>
      </c>
      <c r="C169" s="14" t="s">
        <v>405</v>
      </c>
      <c r="D169" s="15" t="n">
        <v>1</v>
      </c>
      <c r="E169" s="15" t="s">
        <v>379</v>
      </c>
      <c r="F169" s="15" t="s">
        <v>394</v>
      </c>
      <c r="G169" s="14"/>
    </row>
    <row r="171" customFormat="false" ht="15" hidden="false" customHeight="false" outlineLevel="0" collapsed="false">
      <c r="A171" s="44" t="s">
        <v>210</v>
      </c>
      <c r="B171" s="19" t="s">
        <v>531</v>
      </c>
      <c r="C171" s="19"/>
      <c r="D171" s="19"/>
      <c r="E171" s="19"/>
      <c r="F171" s="19"/>
      <c r="G171" s="19"/>
    </row>
    <row r="172" customFormat="false" ht="30" hidden="false" customHeight="true" outlineLevel="0" collapsed="false">
      <c r="A172" s="45" t="s">
        <v>210</v>
      </c>
      <c r="B172" s="46" t="s">
        <v>532</v>
      </c>
      <c r="C172" s="46"/>
      <c r="D172" s="46"/>
      <c r="E172" s="46"/>
      <c r="F172" s="46"/>
      <c r="G172" s="46"/>
    </row>
    <row r="173" customFormat="false" ht="15" hidden="false" customHeight="false" outlineLevel="0" collapsed="false">
      <c r="A173" s="41" t="s">
        <v>210</v>
      </c>
      <c r="B173" s="14" t="s">
        <v>404</v>
      </c>
      <c r="C173" s="14" t="s">
        <v>405</v>
      </c>
      <c r="D173" s="15" t="n">
        <v>1</v>
      </c>
      <c r="E173" s="15" t="s">
        <v>379</v>
      </c>
      <c r="F173" s="15" t="s">
        <v>394</v>
      </c>
      <c r="G173" s="14"/>
    </row>
    <row r="175" customFormat="false" ht="15" hidden="false" customHeight="false" outlineLevel="0" collapsed="false">
      <c r="A175" s="44" t="s">
        <v>215</v>
      </c>
      <c r="B175" s="19" t="s">
        <v>533</v>
      </c>
      <c r="C175" s="19"/>
      <c r="D175" s="19"/>
      <c r="E175" s="19"/>
      <c r="F175" s="19"/>
      <c r="G175" s="19"/>
    </row>
    <row r="176" customFormat="false" ht="30" hidden="false" customHeight="true" outlineLevel="0" collapsed="false">
      <c r="A176" s="45" t="s">
        <v>215</v>
      </c>
      <c r="B176" s="46" t="s">
        <v>534</v>
      </c>
      <c r="C176" s="46"/>
      <c r="D176" s="46"/>
      <c r="E176" s="46"/>
      <c r="F176" s="46"/>
      <c r="G176" s="46"/>
    </row>
    <row r="177" customFormat="false" ht="15" hidden="false" customHeight="false" outlineLevel="0" collapsed="false">
      <c r="A177" s="41" t="s">
        <v>215</v>
      </c>
      <c r="B177" s="14" t="s">
        <v>392</v>
      </c>
      <c r="C177" s="14" t="s">
        <v>393</v>
      </c>
      <c r="D177" s="15" t="n">
        <v>1</v>
      </c>
      <c r="E177" s="15" t="s">
        <v>379</v>
      </c>
      <c r="F177" s="15" t="s">
        <v>394</v>
      </c>
      <c r="G177" s="14"/>
    </row>
    <row r="178" customFormat="false" ht="15" hidden="false" customHeight="false" outlineLevel="0" collapsed="false">
      <c r="A178" s="41" t="s">
        <v>215</v>
      </c>
      <c r="B178" s="14" t="s">
        <v>398</v>
      </c>
      <c r="C178" s="14" t="s">
        <v>501</v>
      </c>
      <c r="D178" s="15" t="n">
        <v>1</v>
      </c>
      <c r="E178" s="15" t="s">
        <v>379</v>
      </c>
      <c r="F178" s="15" t="s">
        <v>394</v>
      </c>
      <c r="G178" s="14"/>
    </row>
    <row r="179" customFormat="false" ht="15" hidden="false" customHeight="false" outlineLevel="0" collapsed="false">
      <c r="A179" s="41" t="s">
        <v>215</v>
      </c>
      <c r="B179" s="14" t="s">
        <v>398</v>
      </c>
      <c r="C179" s="14" t="s">
        <v>399</v>
      </c>
      <c r="D179" s="15" t="n">
        <v>1</v>
      </c>
      <c r="E179" s="15" t="s">
        <v>379</v>
      </c>
      <c r="F179" s="15" t="s">
        <v>394</v>
      </c>
      <c r="G179" s="14"/>
    </row>
    <row r="180" customFormat="false" ht="15" hidden="false" customHeight="false" outlineLevel="0" collapsed="false">
      <c r="A180" s="41" t="s">
        <v>215</v>
      </c>
      <c r="B180" s="14" t="s">
        <v>398</v>
      </c>
      <c r="C180" s="14" t="s">
        <v>401</v>
      </c>
      <c r="D180" s="15" t="n">
        <v>1</v>
      </c>
      <c r="E180" s="15" t="s">
        <v>379</v>
      </c>
      <c r="F180" s="15" t="s">
        <v>380</v>
      </c>
      <c r="G180" s="14"/>
    </row>
    <row r="181" customFormat="false" ht="15" hidden="false" customHeight="false" outlineLevel="0" collapsed="false">
      <c r="A181" s="41" t="s">
        <v>215</v>
      </c>
      <c r="B181" s="14" t="s">
        <v>383</v>
      </c>
      <c r="C181" s="14" t="s">
        <v>402</v>
      </c>
      <c r="D181" s="15" t="n">
        <v>1</v>
      </c>
      <c r="E181" s="15" t="s">
        <v>379</v>
      </c>
      <c r="F181" s="15" t="s">
        <v>394</v>
      </c>
      <c r="G181" s="14"/>
    </row>
    <row r="182" customFormat="false" ht="15" hidden="false" customHeight="false" outlineLevel="0" collapsed="false">
      <c r="A182" s="41" t="s">
        <v>215</v>
      </c>
      <c r="B182" s="14" t="s">
        <v>383</v>
      </c>
      <c r="C182" s="14" t="s">
        <v>403</v>
      </c>
      <c r="D182" s="15" t="n">
        <v>6</v>
      </c>
      <c r="E182" s="15" t="s">
        <v>379</v>
      </c>
      <c r="F182" s="15" t="s">
        <v>394</v>
      </c>
      <c r="G182" s="14"/>
    </row>
    <row r="183" customFormat="false" ht="15" hidden="false" customHeight="false" outlineLevel="0" collapsed="false">
      <c r="A183" s="41" t="s">
        <v>215</v>
      </c>
      <c r="B183" s="14" t="s">
        <v>404</v>
      </c>
      <c r="C183" s="14" t="s">
        <v>405</v>
      </c>
      <c r="D183" s="15" t="n">
        <v>1</v>
      </c>
      <c r="E183" s="15" t="s">
        <v>379</v>
      </c>
      <c r="F183" s="15" t="s">
        <v>394</v>
      </c>
      <c r="G183" s="14"/>
    </row>
    <row r="185" customFormat="false" ht="15" hidden="false" customHeight="false" outlineLevel="0" collapsed="false">
      <c r="A185" s="44" t="s">
        <v>219</v>
      </c>
      <c r="B185" s="19" t="s">
        <v>535</v>
      </c>
      <c r="C185" s="19"/>
      <c r="D185" s="19"/>
      <c r="E185" s="19"/>
      <c r="F185" s="19"/>
      <c r="G185" s="19"/>
    </row>
    <row r="186" customFormat="false" ht="30" hidden="false" customHeight="true" outlineLevel="0" collapsed="false">
      <c r="A186" s="45" t="s">
        <v>219</v>
      </c>
      <c r="B186" s="46" t="s">
        <v>536</v>
      </c>
      <c r="C186" s="46"/>
      <c r="D186" s="46"/>
      <c r="E186" s="46"/>
      <c r="F186" s="46"/>
      <c r="G186" s="46"/>
    </row>
    <row r="187" customFormat="false" ht="15" hidden="false" customHeight="false" outlineLevel="0" collapsed="false">
      <c r="A187" s="41" t="s">
        <v>219</v>
      </c>
      <c r="B187" s="14" t="s">
        <v>404</v>
      </c>
      <c r="C187" s="14" t="s">
        <v>405</v>
      </c>
      <c r="D187" s="15" t="n">
        <v>1</v>
      </c>
      <c r="E187" s="15" t="s">
        <v>379</v>
      </c>
      <c r="F187" s="15" t="s">
        <v>394</v>
      </c>
      <c r="G187" s="14"/>
    </row>
    <row r="188" customFormat="false" ht="15" hidden="false" customHeight="false" outlineLevel="0" collapsed="false">
      <c r="A188" s="41" t="s">
        <v>219</v>
      </c>
      <c r="B188" s="14" t="s">
        <v>404</v>
      </c>
      <c r="C188" s="14" t="s">
        <v>537</v>
      </c>
      <c r="D188" s="15" t="n">
        <v>1</v>
      </c>
      <c r="E188" s="15" t="s">
        <v>379</v>
      </c>
      <c r="F188" s="15" t="s">
        <v>394</v>
      </c>
      <c r="G188" s="14" t="s">
        <v>538</v>
      </c>
    </row>
    <row r="189" customFormat="false" ht="15" hidden="false" customHeight="false" outlineLevel="0" collapsed="false">
      <c r="A189" s="41" t="s">
        <v>219</v>
      </c>
      <c r="B189" s="14" t="s">
        <v>386</v>
      </c>
      <c r="C189" s="14" t="s">
        <v>451</v>
      </c>
      <c r="D189" s="15" t="n">
        <v>1</v>
      </c>
      <c r="E189" s="15" t="s">
        <v>379</v>
      </c>
      <c r="F189" s="15" t="s">
        <v>380</v>
      </c>
      <c r="G189" s="14" t="s">
        <v>539</v>
      </c>
    </row>
  </sheetData>
  <autoFilter ref="A4:G191"/>
  <mergeCells count="32">
    <mergeCell ref="B5:G5"/>
    <mergeCell ref="B6:G6"/>
    <mergeCell ref="B16:G16"/>
    <mergeCell ref="B17:G17"/>
    <mergeCell ref="B30:G30"/>
    <mergeCell ref="B31:G31"/>
    <mergeCell ref="B42:G42"/>
    <mergeCell ref="B43:G43"/>
    <mergeCell ref="B55:G55"/>
    <mergeCell ref="B56:G56"/>
    <mergeCell ref="B69:G69"/>
    <mergeCell ref="B70:G70"/>
    <mergeCell ref="B84:G84"/>
    <mergeCell ref="B85:G85"/>
    <mergeCell ref="B98:G98"/>
    <mergeCell ref="B99:G99"/>
    <mergeCell ref="B112:G112"/>
    <mergeCell ref="B113:G113"/>
    <mergeCell ref="B126:G126"/>
    <mergeCell ref="B127:G127"/>
    <mergeCell ref="B132:G132"/>
    <mergeCell ref="B133:G133"/>
    <mergeCell ref="B144:G144"/>
    <mergeCell ref="B145:G145"/>
    <mergeCell ref="B159:G159"/>
    <mergeCell ref="B160:G160"/>
    <mergeCell ref="B171:G171"/>
    <mergeCell ref="B172:G172"/>
    <mergeCell ref="B175:G175"/>
    <mergeCell ref="B176:G176"/>
    <mergeCell ref="B185:G185"/>
    <mergeCell ref="B186:G18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3FC4"/>
    <pageSetUpPr fitToPage="true"/>
  </sheetPr>
  <dimension ref="A1:G1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4" min="4" style="0" width="7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50"/>
  </cols>
  <sheetData>
    <row r="1" customFormat="false" ht="17.35" hidden="false" customHeight="false" outlineLevel="0" collapsed="false">
      <c r="A1" s="47" t="s">
        <v>540</v>
      </c>
    </row>
    <row r="2" customFormat="false" ht="15" hidden="false" customHeight="false" outlineLevel="0" collapsed="false">
      <c r="A2" s="2" t="s">
        <v>368</v>
      </c>
    </row>
    <row r="4" customFormat="false" ht="15" hidden="false" customHeight="false" outlineLevel="0" collapsed="false">
      <c r="A4" s="8" t="s">
        <v>33</v>
      </c>
      <c r="B4" s="8" t="s">
        <v>369</v>
      </c>
      <c r="C4" s="8" t="s">
        <v>370</v>
      </c>
      <c r="D4" s="8" t="s">
        <v>371</v>
      </c>
      <c r="E4" s="8" t="s">
        <v>372</v>
      </c>
      <c r="F4" s="8" t="s">
        <v>373</v>
      </c>
      <c r="G4" s="8" t="s">
        <v>374</v>
      </c>
    </row>
    <row r="5" customFormat="false" ht="15" hidden="false" customHeight="false" outlineLevel="0" collapsed="false">
      <c r="A5" s="48" t="s">
        <v>228</v>
      </c>
      <c r="B5" s="24" t="s">
        <v>541</v>
      </c>
      <c r="C5" s="24"/>
      <c r="D5" s="24"/>
      <c r="E5" s="24"/>
      <c r="F5" s="24"/>
      <c r="G5" s="24"/>
    </row>
    <row r="6" customFormat="false" ht="30" hidden="false" customHeight="true" outlineLevel="0" collapsed="false">
      <c r="A6" s="49" t="s">
        <v>228</v>
      </c>
      <c r="B6" s="50" t="s">
        <v>542</v>
      </c>
      <c r="C6" s="50"/>
      <c r="D6" s="50"/>
      <c r="E6" s="50"/>
      <c r="F6" s="50"/>
      <c r="G6" s="50"/>
    </row>
    <row r="7" customFormat="false" ht="15" hidden="false" customHeight="false" outlineLevel="0" collapsed="false">
      <c r="A7" s="41" t="s">
        <v>228</v>
      </c>
      <c r="B7" s="14" t="s">
        <v>396</v>
      </c>
      <c r="C7" s="14" t="s">
        <v>397</v>
      </c>
      <c r="D7" s="15" t="n">
        <v>1</v>
      </c>
      <c r="E7" s="15" t="s">
        <v>379</v>
      </c>
      <c r="F7" s="15" t="s">
        <v>394</v>
      </c>
      <c r="G7" s="14"/>
    </row>
    <row r="8" customFormat="false" ht="15" hidden="false" customHeight="false" outlineLevel="0" collapsed="false">
      <c r="A8" s="41" t="s">
        <v>228</v>
      </c>
      <c r="B8" s="14" t="s">
        <v>377</v>
      </c>
      <c r="C8" s="14" t="s">
        <v>378</v>
      </c>
      <c r="D8" s="15" t="n">
        <v>1</v>
      </c>
      <c r="E8" s="15" t="s">
        <v>379</v>
      </c>
      <c r="F8" s="15" t="s">
        <v>380</v>
      </c>
      <c r="G8" s="14"/>
    </row>
    <row r="9" customFormat="false" ht="15" hidden="false" customHeight="false" outlineLevel="0" collapsed="false">
      <c r="A9" s="41" t="s">
        <v>228</v>
      </c>
      <c r="B9" s="14" t="s">
        <v>398</v>
      </c>
      <c r="C9" s="14" t="s">
        <v>543</v>
      </c>
      <c r="D9" s="15" t="n">
        <v>1</v>
      </c>
      <c r="E9" s="15" t="s">
        <v>379</v>
      </c>
      <c r="F9" s="15" t="s">
        <v>380</v>
      </c>
      <c r="G9" s="14"/>
    </row>
    <row r="10" customFormat="false" ht="15" hidden="false" customHeight="false" outlineLevel="0" collapsed="false">
      <c r="A10" s="41" t="s">
        <v>228</v>
      </c>
      <c r="B10" s="14" t="s">
        <v>398</v>
      </c>
      <c r="C10" s="14" t="s">
        <v>544</v>
      </c>
      <c r="D10" s="15" t="n">
        <v>1</v>
      </c>
      <c r="E10" s="15" t="s">
        <v>379</v>
      </c>
      <c r="F10" s="15" t="s">
        <v>380</v>
      </c>
      <c r="G10" s="14"/>
    </row>
    <row r="11" customFormat="false" ht="15" hidden="false" customHeight="false" outlineLevel="0" collapsed="false">
      <c r="A11" s="41" t="s">
        <v>228</v>
      </c>
      <c r="B11" s="14" t="s">
        <v>398</v>
      </c>
      <c r="C11" s="14" t="s">
        <v>545</v>
      </c>
      <c r="D11" s="15" t="n">
        <v>1</v>
      </c>
      <c r="E11" s="15" t="s">
        <v>379</v>
      </c>
      <c r="F11" s="15" t="s">
        <v>380</v>
      </c>
      <c r="G11" s="14"/>
    </row>
    <row r="12" customFormat="false" ht="15" hidden="false" customHeight="false" outlineLevel="0" collapsed="false">
      <c r="A12" s="41" t="s">
        <v>228</v>
      </c>
      <c r="B12" s="14" t="s">
        <v>398</v>
      </c>
      <c r="C12" s="14" t="s">
        <v>546</v>
      </c>
      <c r="D12" s="15" t="n">
        <v>1</v>
      </c>
      <c r="E12" s="15" t="s">
        <v>379</v>
      </c>
      <c r="F12" s="15" t="s">
        <v>380</v>
      </c>
      <c r="G12" s="14"/>
    </row>
    <row r="13" customFormat="false" ht="15" hidden="false" customHeight="false" outlineLevel="0" collapsed="false">
      <c r="A13" s="41" t="s">
        <v>228</v>
      </c>
      <c r="B13" s="14" t="s">
        <v>398</v>
      </c>
      <c r="C13" s="14" t="s">
        <v>525</v>
      </c>
      <c r="D13" s="15" t="n">
        <v>2</v>
      </c>
      <c r="E13" s="15" t="s">
        <v>379</v>
      </c>
      <c r="F13" s="15" t="s">
        <v>380</v>
      </c>
      <c r="G13" s="14"/>
    </row>
    <row r="14" customFormat="false" ht="15" hidden="false" customHeight="false" outlineLevel="0" collapsed="false">
      <c r="A14" s="41" t="s">
        <v>228</v>
      </c>
      <c r="B14" s="14" t="s">
        <v>398</v>
      </c>
      <c r="C14" s="14" t="s">
        <v>401</v>
      </c>
      <c r="D14" s="15" t="n">
        <v>1</v>
      </c>
      <c r="E14" s="15" t="s">
        <v>379</v>
      </c>
      <c r="F14" s="15" t="s">
        <v>380</v>
      </c>
      <c r="G14" s="14"/>
    </row>
    <row r="15" customFormat="false" ht="15" hidden="false" customHeight="false" outlineLevel="0" collapsed="false">
      <c r="A15" s="41" t="s">
        <v>228</v>
      </c>
      <c r="B15" s="14" t="s">
        <v>398</v>
      </c>
      <c r="C15" s="14" t="s">
        <v>400</v>
      </c>
      <c r="D15" s="15" t="n">
        <v>1</v>
      </c>
      <c r="E15" s="15" t="s">
        <v>379</v>
      </c>
      <c r="F15" s="15" t="s">
        <v>380</v>
      </c>
      <c r="G15" s="14"/>
    </row>
    <row r="16" customFormat="false" ht="15" hidden="false" customHeight="false" outlineLevel="0" collapsed="false">
      <c r="A16" s="41" t="s">
        <v>228</v>
      </c>
      <c r="B16" s="14" t="s">
        <v>398</v>
      </c>
      <c r="C16" s="14" t="s">
        <v>501</v>
      </c>
      <c r="D16" s="15" t="n">
        <v>1</v>
      </c>
      <c r="E16" s="15" t="s">
        <v>379</v>
      </c>
      <c r="F16" s="15" t="s">
        <v>394</v>
      </c>
      <c r="G16" s="14"/>
    </row>
    <row r="17" customFormat="false" ht="15" hidden="false" customHeight="false" outlineLevel="0" collapsed="false">
      <c r="A17" s="41" t="s">
        <v>228</v>
      </c>
      <c r="B17" s="14" t="s">
        <v>381</v>
      </c>
      <c r="C17" s="14" t="s">
        <v>474</v>
      </c>
      <c r="D17" s="15" t="n">
        <v>1</v>
      </c>
      <c r="E17" s="15" t="s">
        <v>379</v>
      </c>
      <c r="F17" s="15" t="s">
        <v>380</v>
      </c>
      <c r="G17" s="14"/>
    </row>
    <row r="18" customFormat="false" ht="15" hidden="false" customHeight="false" outlineLevel="0" collapsed="false">
      <c r="A18" s="41" t="s">
        <v>228</v>
      </c>
      <c r="B18" s="14" t="s">
        <v>383</v>
      </c>
      <c r="C18" s="14" t="s">
        <v>402</v>
      </c>
      <c r="D18" s="15" t="n">
        <v>1</v>
      </c>
      <c r="E18" s="15" t="s">
        <v>379</v>
      </c>
      <c r="F18" s="15" t="s">
        <v>394</v>
      </c>
      <c r="G18" s="14"/>
    </row>
    <row r="19" customFormat="false" ht="15" hidden="false" customHeight="false" outlineLevel="0" collapsed="false">
      <c r="A19" s="41" t="s">
        <v>228</v>
      </c>
      <c r="B19" s="14" t="s">
        <v>383</v>
      </c>
      <c r="C19" s="14" t="s">
        <v>403</v>
      </c>
      <c r="D19" s="15" t="n">
        <v>12</v>
      </c>
      <c r="E19" s="15" t="s">
        <v>379</v>
      </c>
      <c r="F19" s="15" t="s">
        <v>394</v>
      </c>
      <c r="G19" s="14"/>
    </row>
    <row r="20" customFormat="false" ht="15" hidden="false" customHeight="false" outlineLevel="0" collapsed="false">
      <c r="A20" s="41" t="s">
        <v>228</v>
      </c>
      <c r="B20" s="14" t="s">
        <v>404</v>
      </c>
      <c r="C20" s="14" t="s">
        <v>475</v>
      </c>
      <c r="D20" s="15" t="n">
        <v>1</v>
      </c>
      <c r="E20" s="15" t="s">
        <v>379</v>
      </c>
      <c r="F20" s="15" t="s">
        <v>394</v>
      </c>
      <c r="G20" s="14"/>
    </row>
    <row r="22" customFormat="false" ht="15" hidden="false" customHeight="false" outlineLevel="0" collapsed="false">
      <c r="A22" s="48" t="s">
        <v>232</v>
      </c>
      <c r="B22" s="24" t="s">
        <v>547</v>
      </c>
      <c r="C22" s="24"/>
      <c r="D22" s="24"/>
      <c r="E22" s="24"/>
      <c r="F22" s="24"/>
      <c r="G22" s="24"/>
    </row>
    <row r="23" customFormat="false" ht="30" hidden="false" customHeight="true" outlineLevel="0" collapsed="false">
      <c r="A23" s="49" t="s">
        <v>232</v>
      </c>
      <c r="B23" s="50" t="s">
        <v>548</v>
      </c>
      <c r="C23" s="50"/>
      <c r="D23" s="50"/>
      <c r="E23" s="50"/>
      <c r="F23" s="50"/>
      <c r="G23" s="50"/>
    </row>
    <row r="24" customFormat="false" ht="15" hidden="false" customHeight="false" outlineLevel="0" collapsed="false">
      <c r="A24" s="41" t="s">
        <v>232</v>
      </c>
      <c r="B24" s="14" t="s">
        <v>392</v>
      </c>
      <c r="C24" s="14" t="s">
        <v>393</v>
      </c>
      <c r="D24" s="15" t="n">
        <v>1</v>
      </c>
      <c r="E24" s="15" t="s">
        <v>379</v>
      </c>
      <c r="F24" s="15" t="s">
        <v>394</v>
      </c>
      <c r="G24" s="14"/>
    </row>
    <row r="25" customFormat="false" ht="15" hidden="false" customHeight="false" outlineLevel="0" collapsed="false">
      <c r="A25" s="41" t="s">
        <v>232</v>
      </c>
      <c r="B25" s="14" t="s">
        <v>419</v>
      </c>
      <c r="C25" s="14" t="s">
        <v>549</v>
      </c>
      <c r="D25" s="15" t="n">
        <v>1</v>
      </c>
      <c r="E25" s="15" t="s">
        <v>379</v>
      </c>
      <c r="F25" s="15" t="s">
        <v>394</v>
      </c>
      <c r="G25" s="14"/>
    </row>
    <row r="26" customFormat="false" ht="15" hidden="false" customHeight="false" outlineLevel="0" collapsed="false">
      <c r="A26" s="41" t="s">
        <v>232</v>
      </c>
      <c r="B26" s="14" t="s">
        <v>396</v>
      </c>
      <c r="C26" s="14" t="s">
        <v>397</v>
      </c>
      <c r="D26" s="15" t="n">
        <v>1</v>
      </c>
      <c r="E26" s="15" t="s">
        <v>379</v>
      </c>
      <c r="F26" s="15" t="s">
        <v>394</v>
      </c>
      <c r="G26" s="14"/>
    </row>
    <row r="27" customFormat="false" ht="15" hidden="false" customHeight="false" outlineLevel="0" collapsed="false">
      <c r="A27" s="41" t="s">
        <v>232</v>
      </c>
      <c r="B27" s="14" t="s">
        <v>377</v>
      </c>
      <c r="C27" s="14" t="s">
        <v>478</v>
      </c>
      <c r="D27" s="15" t="n">
        <v>1</v>
      </c>
      <c r="E27" s="15" t="s">
        <v>379</v>
      </c>
      <c r="F27" s="15" t="s">
        <v>394</v>
      </c>
      <c r="G27" s="14"/>
    </row>
    <row r="28" customFormat="false" ht="15" hidden="false" customHeight="false" outlineLevel="0" collapsed="false">
      <c r="A28" s="41" t="s">
        <v>232</v>
      </c>
      <c r="B28" s="14" t="s">
        <v>377</v>
      </c>
      <c r="C28" s="14" t="s">
        <v>378</v>
      </c>
      <c r="D28" s="15" t="n">
        <v>1</v>
      </c>
      <c r="E28" s="15" t="s">
        <v>379</v>
      </c>
      <c r="F28" s="15" t="s">
        <v>380</v>
      </c>
      <c r="G28" s="14"/>
    </row>
    <row r="29" customFormat="false" ht="15" hidden="false" customHeight="false" outlineLevel="0" collapsed="false">
      <c r="A29" s="41" t="s">
        <v>232</v>
      </c>
      <c r="B29" s="14" t="s">
        <v>398</v>
      </c>
      <c r="C29" s="14" t="s">
        <v>400</v>
      </c>
      <c r="D29" s="15" t="n">
        <v>1</v>
      </c>
      <c r="E29" s="15" t="s">
        <v>379</v>
      </c>
      <c r="F29" s="15" t="s">
        <v>380</v>
      </c>
      <c r="G29" s="14"/>
    </row>
    <row r="30" customFormat="false" ht="15" hidden="false" customHeight="false" outlineLevel="0" collapsed="false">
      <c r="A30" s="41" t="s">
        <v>232</v>
      </c>
      <c r="B30" s="14" t="s">
        <v>383</v>
      </c>
      <c r="C30" s="14" t="s">
        <v>402</v>
      </c>
      <c r="D30" s="15" t="n">
        <v>1</v>
      </c>
      <c r="E30" s="15" t="s">
        <v>379</v>
      </c>
      <c r="F30" s="15" t="s">
        <v>394</v>
      </c>
      <c r="G30" s="14"/>
    </row>
    <row r="31" customFormat="false" ht="15" hidden="false" customHeight="false" outlineLevel="0" collapsed="false">
      <c r="A31" s="41" t="s">
        <v>232</v>
      </c>
      <c r="B31" s="14" t="s">
        <v>383</v>
      </c>
      <c r="C31" s="14" t="s">
        <v>403</v>
      </c>
      <c r="D31" s="15" t="n">
        <v>10</v>
      </c>
      <c r="E31" s="15" t="s">
        <v>379</v>
      </c>
      <c r="F31" s="15" t="s">
        <v>394</v>
      </c>
      <c r="G31" s="14"/>
    </row>
    <row r="32" customFormat="false" ht="15" hidden="false" customHeight="false" outlineLevel="0" collapsed="false">
      <c r="A32" s="41" t="s">
        <v>232</v>
      </c>
      <c r="B32" s="14" t="s">
        <v>383</v>
      </c>
      <c r="C32" s="14" t="s">
        <v>421</v>
      </c>
      <c r="D32" s="15" t="n">
        <v>6</v>
      </c>
      <c r="E32" s="15" t="s">
        <v>379</v>
      </c>
      <c r="F32" s="15" t="s">
        <v>394</v>
      </c>
      <c r="G32" s="14"/>
    </row>
    <row r="33" customFormat="false" ht="15" hidden="false" customHeight="false" outlineLevel="0" collapsed="false">
      <c r="A33" s="41" t="s">
        <v>232</v>
      </c>
      <c r="B33" s="14" t="s">
        <v>404</v>
      </c>
      <c r="C33" s="14" t="s">
        <v>405</v>
      </c>
      <c r="D33" s="15" t="n">
        <v>1</v>
      </c>
      <c r="E33" s="15" t="s">
        <v>379</v>
      </c>
      <c r="F33" s="15" t="s">
        <v>394</v>
      </c>
      <c r="G33" s="14"/>
    </row>
    <row r="35" customFormat="false" ht="15" hidden="false" customHeight="false" outlineLevel="0" collapsed="false">
      <c r="A35" s="48" t="s">
        <v>236</v>
      </c>
      <c r="B35" s="24" t="s">
        <v>550</v>
      </c>
      <c r="C35" s="24"/>
      <c r="D35" s="24"/>
      <c r="E35" s="24"/>
      <c r="F35" s="24"/>
      <c r="G35" s="24"/>
    </row>
    <row r="36" customFormat="false" ht="30" hidden="false" customHeight="true" outlineLevel="0" collapsed="false">
      <c r="A36" s="49" t="s">
        <v>236</v>
      </c>
      <c r="B36" s="50" t="s">
        <v>551</v>
      </c>
      <c r="C36" s="50"/>
      <c r="D36" s="50"/>
      <c r="E36" s="50"/>
      <c r="F36" s="50"/>
      <c r="G36" s="50"/>
    </row>
    <row r="37" customFormat="false" ht="15" hidden="false" customHeight="false" outlineLevel="0" collapsed="false">
      <c r="A37" s="41" t="s">
        <v>236</v>
      </c>
      <c r="B37" s="14" t="s">
        <v>392</v>
      </c>
      <c r="C37" s="14" t="s">
        <v>393</v>
      </c>
      <c r="D37" s="15" t="n">
        <v>1</v>
      </c>
      <c r="E37" s="15" t="s">
        <v>379</v>
      </c>
      <c r="F37" s="15" t="s">
        <v>394</v>
      </c>
      <c r="G37" s="14"/>
    </row>
    <row r="38" customFormat="false" ht="15" hidden="false" customHeight="false" outlineLevel="0" collapsed="false">
      <c r="A38" s="41" t="s">
        <v>236</v>
      </c>
      <c r="B38" s="14" t="s">
        <v>419</v>
      </c>
      <c r="C38" s="14" t="s">
        <v>433</v>
      </c>
      <c r="D38" s="15" t="n">
        <v>1</v>
      </c>
      <c r="E38" s="15" t="s">
        <v>379</v>
      </c>
      <c r="F38" s="15" t="s">
        <v>394</v>
      </c>
      <c r="G38" s="14"/>
    </row>
    <row r="39" customFormat="false" ht="15" hidden="false" customHeight="false" outlineLevel="0" collapsed="false">
      <c r="A39" s="41" t="s">
        <v>236</v>
      </c>
      <c r="B39" s="14" t="s">
        <v>419</v>
      </c>
      <c r="C39" s="14" t="s">
        <v>420</v>
      </c>
      <c r="D39" s="15" t="n">
        <v>1</v>
      </c>
      <c r="E39" s="15" t="s">
        <v>379</v>
      </c>
      <c r="F39" s="15" t="s">
        <v>394</v>
      </c>
      <c r="G39" s="14"/>
    </row>
    <row r="40" customFormat="false" ht="15" hidden="false" customHeight="false" outlineLevel="0" collapsed="false">
      <c r="A40" s="41" t="s">
        <v>236</v>
      </c>
      <c r="B40" s="14" t="s">
        <v>396</v>
      </c>
      <c r="C40" s="14" t="s">
        <v>552</v>
      </c>
      <c r="D40" s="15" t="n">
        <v>1</v>
      </c>
      <c r="E40" s="15" t="s">
        <v>379</v>
      </c>
      <c r="F40" s="15" t="s">
        <v>394</v>
      </c>
      <c r="G40" s="14"/>
    </row>
    <row r="41" customFormat="false" ht="15" hidden="false" customHeight="false" outlineLevel="0" collapsed="false">
      <c r="A41" s="41" t="s">
        <v>236</v>
      </c>
      <c r="B41" s="14" t="s">
        <v>377</v>
      </c>
      <c r="C41" s="14" t="s">
        <v>553</v>
      </c>
      <c r="D41" s="15" t="n">
        <v>1</v>
      </c>
      <c r="E41" s="15" t="s">
        <v>379</v>
      </c>
      <c r="F41" s="15" t="s">
        <v>394</v>
      </c>
      <c r="G41" s="14"/>
    </row>
    <row r="42" customFormat="false" ht="15" hidden="false" customHeight="false" outlineLevel="0" collapsed="false">
      <c r="A42" s="41" t="s">
        <v>236</v>
      </c>
      <c r="B42" s="14" t="s">
        <v>377</v>
      </c>
      <c r="C42" s="14" t="s">
        <v>478</v>
      </c>
      <c r="D42" s="15" t="n">
        <v>1</v>
      </c>
      <c r="E42" s="15" t="s">
        <v>379</v>
      </c>
      <c r="F42" s="15" t="s">
        <v>394</v>
      </c>
      <c r="G42" s="14"/>
    </row>
    <row r="43" customFormat="false" ht="15" hidden="false" customHeight="false" outlineLevel="0" collapsed="false">
      <c r="A43" s="41" t="s">
        <v>236</v>
      </c>
      <c r="B43" s="14" t="s">
        <v>383</v>
      </c>
      <c r="C43" s="14" t="s">
        <v>402</v>
      </c>
      <c r="D43" s="15" t="n">
        <v>1</v>
      </c>
      <c r="E43" s="15" t="s">
        <v>379</v>
      </c>
      <c r="F43" s="15" t="s">
        <v>394</v>
      </c>
      <c r="G43" s="14"/>
    </row>
    <row r="44" customFormat="false" ht="15" hidden="false" customHeight="false" outlineLevel="0" collapsed="false">
      <c r="A44" s="41" t="s">
        <v>236</v>
      </c>
      <c r="B44" s="14" t="s">
        <v>383</v>
      </c>
      <c r="C44" s="14" t="s">
        <v>403</v>
      </c>
      <c r="D44" s="15" t="n">
        <v>10</v>
      </c>
      <c r="E44" s="15" t="s">
        <v>379</v>
      </c>
      <c r="F44" s="15" t="s">
        <v>394</v>
      </c>
      <c r="G44" s="14"/>
    </row>
    <row r="45" customFormat="false" ht="15" hidden="false" customHeight="false" outlineLevel="0" collapsed="false">
      <c r="A45" s="41" t="s">
        <v>236</v>
      </c>
      <c r="B45" s="14" t="s">
        <v>383</v>
      </c>
      <c r="C45" s="14" t="s">
        <v>421</v>
      </c>
      <c r="D45" s="15" t="n">
        <v>8</v>
      </c>
      <c r="E45" s="15" t="s">
        <v>379</v>
      </c>
      <c r="F45" s="15" t="s">
        <v>394</v>
      </c>
      <c r="G45" s="14"/>
    </row>
    <row r="46" customFormat="false" ht="15" hidden="false" customHeight="false" outlineLevel="0" collapsed="false">
      <c r="A46" s="41" t="s">
        <v>236</v>
      </c>
      <c r="B46" s="14" t="s">
        <v>404</v>
      </c>
      <c r="C46" s="14" t="s">
        <v>405</v>
      </c>
      <c r="D46" s="15" t="n">
        <v>1</v>
      </c>
      <c r="E46" s="15" t="s">
        <v>379</v>
      </c>
      <c r="F46" s="15" t="s">
        <v>394</v>
      </c>
      <c r="G46" s="14"/>
    </row>
    <row r="48" customFormat="false" ht="15" hidden="false" customHeight="false" outlineLevel="0" collapsed="false">
      <c r="A48" s="48" t="s">
        <v>240</v>
      </c>
      <c r="B48" s="24" t="s">
        <v>554</v>
      </c>
      <c r="C48" s="24"/>
      <c r="D48" s="24"/>
      <c r="E48" s="24"/>
      <c r="F48" s="24"/>
      <c r="G48" s="24"/>
    </row>
    <row r="49" customFormat="false" ht="30" hidden="false" customHeight="true" outlineLevel="0" collapsed="false">
      <c r="A49" s="49" t="s">
        <v>240</v>
      </c>
      <c r="B49" s="50" t="s">
        <v>555</v>
      </c>
      <c r="C49" s="50"/>
      <c r="D49" s="50"/>
      <c r="E49" s="50"/>
      <c r="F49" s="50"/>
      <c r="G49" s="50"/>
    </row>
    <row r="50" customFormat="false" ht="15" hidden="false" customHeight="false" outlineLevel="0" collapsed="false">
      <c r="A50" s="41" t="s">
        <v>240</v>
      </c>
      <c r="B50" s="14" t="s">
        <v>392</v>
      </c>
      <c r="C50" s="14" t="s">
        <v>393</v>
      </c>
      <c r="D50" s="15" t="n">
        <v>1</v>
      </c>
      <c r="E50" s="15" t="s">
        <v>379</v>
      </c>
      <c r="F50" s="15" t="s">
        <v>394</v>
      </c>
      <c r="G50" s="14"/>
    </row>
    <row r="51" customFormat="false" ht="15" hidden="false" customHeight="false" outlineLevel="0" collapsed="false">
      <c r="A51" s="41" t="s">
        <v>240</v>
      </c>
      <c r="B51" s="14" t="s">
        <v>396</v>
      </c>
      <c r="C51" s="14" t="s">
        <v>556</v>
      </c>
      <c r="D51" s="15" t="n">
        <v>2</v>
      </c>
      <c r="E51" s="15" t="s">
        <v>379</v>
      </c>
      <c r="F51" s="15" t="s">
        <v>394</v>
      </c>
      <c r="G51" s="14"/>
    </row>
    <row r="52" customFormat="false" ht="15" hidden="false" customHeight="false" outlineLevel="0" collapsed="false">
      <c r="A52" s="41" t="s">
        <v>240</v>
      </c>
      <c r="B52" s="14" t="s">
        <v>396</v>
      </c>
      <c r="C52" s="14" t="s">
        <v>436</v>
      </c>
      <c r="D52" s="15" t="n">
        <v>1</v>
      </c>
      <c r="E52" s="15" t="s">
        <v>379</v>
      </c>
      <c r="F52" s="15" t="s">
        <v>394</v>
      </c>
      <c r="G52" s="14" t="s">
        <v>557</v>
      </c>
    </row>
    <row r="53" customFormat="false" ht="15" hidden="false" customHeight="false" outlineLevel="0" collapsed="false">
      <c r="A53" s="41" t="s">
        <v>240</v>
      </c>
      <c r="B53" s="14" t="s">
        <v>381</v>
      </c>
      <c r="C53" s="14" t="s">
        <v>502</v>
      </c>
      <c r="D53" s="15" t="n">
        <v>1</v>
      </c>
      <c r="E53" s="15" t="s">
        <v>379</v>
      </c>
      <c r="F53" s="15" t="s">
        <v>380</v>
      </c>
      <c r="G53" s="14" t="s">
        <v>503</v>
      </c>
    </row>
    <row r="54" customFormat="false" ht="15" hidden="false" customHeight="false" outlineLevel="0" collapsed="false">
      <c r="A54" s="41" t="s">
        <v>240</v>
      </c>
      <c r="B54" s="14" t="s">
        <v>383</v>
      </c>
      <c r="C54" s="14" t="s">
        <v>421</v>
      </c>
      <c r="D54" s="15" t="n">
        <v>12</v>
      </c>
      <c r="E54" s="15" t="s">
        <v>379</v>
      </c>
      <c r="F54" s="15" t="s">
        <v>394</v>
      </c>
      <c r="G54" s="14"/>
    </row>
    <row r="55" customFormat="false" ht="15" hidden="false" customHeight="false" outlineLevel="0" collapsed="false">
      <c r="A55" s="41" t="s">
        <v>240</v>
      </c>
      <c r="B55" s="14" t="s">
        <v>383</v>
      </c>
      <c r="C55" s="14" t="s">
        <v>403</v>
      </c>
      <c r="D55" s="15" t="n">
        <v>6</v>
      </c>
      <c r="E55" s="15" t="s">
        <v>379</v>
      </c>
      <c r="F55" s="15" t="s">
        <v>394</v>
      </c>
      <c r="G55" s="14"/>
    </row>
    <row r="56" customFormat="false" ht="15" hidden="false" customHeight="false" outlineLevel="0" collapsed="false">
      <c r="A56" s="41" t="s">
        <v>240</v>
      </c>
      <c r="B56" s="14" t="s">
        <v>404</v>
      </c>
      <c r="C56" s="14" t="s">
        <v>405</v>
      </c>
      <c r="D56" s="15" t="n">
        <v>1</v>
      </c>
      <c r="E56" s="15" t="s">
        <v>379</v>
      </c>
      <c r="F56" s="15" t="s">
        <v>394</v>
      </c>
      <c r="G56" s="14"/>
    </row>
    <row r="57" customFormat="false" ht="15" hidden="false" customHeight="false" outlineLevel="0" collapsed="false">
      <c r="A57" s="41" t="s">
        <v>240</v>
      </c>
      <c r="B57" s="14" t="s">
        <v>386</v>
      </c>
      <c r="C57" s="14" t="s">
        <v>437</v>
      </c>
      <c r="D57" s="15" t="n">
        <v>2</v>
      </c>
      <c r="E57" s="15" t="s">
        <v>379</v>
      </c>
      <c r="F57" s="15" t="s">
        <v>380</v>
      </c>
      <c r="G57" s="14" t="s">
        <v>558</v>
      </c>
    </row>
    <row r="58" customFormat="false" ht="15" hidden="false" customHeight="false" outlineLevel="0" collapsed="false">
      <c r="A58" s="41" t="s">
        <v>240</v>
      </c>
      <c r="B58" s="14" t="s">
        <v>386</v>
      </c>
      <c r="C58" s="14" t="s">
        <v>388</v>
      </c>
      <c r="D58" s="15" t="n">
        <v>1</v>
      </c>
      <c r="E58" s="15" t="s">
        <v>379</v>
      </c>
      <c r="F58" s="15" t="s">
        <v>380</v>
      </c>
      <c r="G58" s="14"/>
    </row>
    <row r="59" customFormat="false" ht="15" hidden="false" customHeight="false" outlineLevel="0" collapsed="false">
      <c r="A59" s="41" t="s">
        <v>240</v>
      </c>
      <c r="B59" s="14" t="s">
        <v>386</v>
      </c>
      <c r="C59" s="14" t="s">
        <v>389</v>
      </c>
      <c r="D59" s="15" t="n">
        <v>1</v>
      </c>
      <c r="E59" s="42" t="s">
        <v>20</v>
      </c>
      <c r="F59" s="15" t="s">
        <v>380</v>
      </c>
      <c r="G59" s="14"/>
    </row>
    <row r="61" customFormat="false" ht="15" hidden="false" customHeight="false" outlineLevel="0" collapsed="false">
      <c r="A61" s="48" t="s">
        <v>244</v>
      </c>
      <c r="B61" s="24" t="s">
        <v>559</v>
      </c>
      <c r="C61" s="24"/>
      <c r="D61" s="24"/>
      <c r="E61" s="24"/>
      <c r="F61" s="24"/>
      <c r="G61" s="24"/>
    </row>
    <row r="62" customFormat="false" ht="30" hidden="false" customHeight="true" outlineLevel="0" collapsed="false">
      <c r="A62" s="49" t="s">
        <v>244</v>
      </c>
      <c r="B62" s="50" t="s">
        <v>560</v>
      </c>
      <c r="C62" s="50"/>
      <c r="D62" s="50"/>
      <c r="E62" s="50"/>
      <c r="F62" s="50"/>
      <c r="G62" s="50"/>
    </row>
    <row r="63" customFormat="false" ht="15" hidden="false" customHeight="false" outlineLevel="0" collapsed="false">
      <c r="A63" s="41" t="s">
        <v>244</v>
      </c>
      <c r="B63" s="14" t="s">
        <v>392</v>
      </c>
      <c r="C63" s="14" t="s">
        <v>393</v>
      </c>
      <c r="D63" s="15" t="n">
        <v>1</v>
      </c>
      <c r="E63" s="15" t="s">
        <v>379</v>
      </c>
      <c r="F63" s="15" t="s">
        <v>394</v>
      </c>
      <c r="G63" s="14"/>
    </row>
    <row r="64" customFormat="false" ht="15" hidden="false" customHeight="false" outlineLevel="0" collapsed="false">
      <c r="A64" s="41" t="s">
        <v>244</v>
      </c>
      <c r="B64" s="14" t="s">
        <v>447</v>
      </c>
      <c r="C64" s="14" t="s">
        <v>517</v>
      </c>
      <c r="D64" s="15" t="n">
        <v>1</v>
      </c>
      <c r="E64" s="15" t="s">
        <v>379</v>
      </c>
      <c r="F64" s="15" t="s">
        <v>394</v>
      </c>
      <c r="G64" s="14"/>
    </row>
    <row r="65" customFormat="false" ht="15" hidden="false" customHeight="false" outlineLevel="0" collapsed="false">
      <c r="A65" s="41" t="s">
        <v>244</v>
      </c>
      <c r="B65" s="14" t="s">
        <v>419</v>
      </c>
      <c r="C65" s="14" t="s">
        <v>441</v>
      </c>
      <c r="D65" s="15" t="n">
        <v>1</v>
      </c>
      <c r="E65" s="15" t="s">
        <v>379</v>
      </c>
      <c r="F65" s="15" t="s">
        <v>394</v>
      </c>
      <c r="G65" s="14"/>
    </row>
    <row r="66" customFormat="false" ht="15" hidden="false" customHeight="false" outlineLevel="0" collapsed="false">
      <c r="A66" s="41" t="s">
        <v>244</v>
      </c>
      <c r="B66" s="14" t="s">
        <v>396</v>
      </c>
      <c r="C66" s="14" t="s">
        <v>500</v>
      </c>
      <c r="D66" s="15" t="n">
        <v>1</v>
      </c>
      <c r="E66" s="15" t="s">
        <v>379</v>
      </c>
      <c r="F66" s="15" t="s">
        <v>394</v>
      </c>
      <c r="G66" s="14"/>
    </row>
    <row r="67" customFormat="false" ht="15" hidden="false" customHeight="false" outlineLevel="0" collapsed="false">
      <c r="A67" s="41" t="s">
        <v>244</v>
      </c>
      <c r="B67" s="14" t="s">
        <v>396</v>
      </c>
      <c r="C67" s="14" t="s">
        <v>436</v>
      </c>
      <c r="D67" s="15" t="n">
        <v>1</v>
      </c>
      <c r="E67" s="15" t="s">
        <v>379</v>
      </c>
      <c r="F67" s="15" t="s">
        <v>394</v>
      </c>
      <c r="G67" s="14"/>
    </row>
    <row r="68" customFormat="false" ht="15" hidden="false" customHeight="false" outlineLevel="0" collapsed="false">
      <c r="A68" s="41" t="s">
        <v>244</v>
      </c>
      <c r="B68" s="14" t="s">
        <v>381</v>
      </c>
      <c r="C68" s="14" t="s">
        <v>502</v>
      </c>
      <c r="D68" s="15" t="n">
        <v>1</v>
      </c>
      <c r="E68" s="15" t="s">
        <v>379</v>
      </c>
      <c r="F68" s="15" t="s">
        <v>380</v>
      </c>
      <c r="G68" s="14"/>
    </row>
    <row r="69" customFormat="false" ht="15" hidden="false" customHeight="false" outlineLevel="0" collapsed="false">
      <c r="A69" s="41" t="s">
        <v>244</v>
      </c>
      <c r="B69" s="14" t="s">
        <v>383</v>
      </c>
      <c r="C69" s="14" t="s">
        <v>421</v>
      </c>
      <c r="D69" s="15" t="n">
        <v>10</v>
      </c>
      <c r="E69" s="15" t="s">
        <v>379</v>
      </c>
      <c r="F69" s="15" t="s">
        <v>394</v>
      </c>
      <c r="G69" s="14"/>
    </row>
    <row r="70" customFormat="false" ht="15" hidden="false" customHeight="false" outlineLevel="0" collapsed="false">
      <c r="A70" s="41" t="s">
        <v>244</v>
      </c>
      <c r="B70" s="14" t="s">
        <v>383</v>
      </c>
      <c r="C70" s="14" t="s">
        <v>403</v>
      </c>
      <c r="D70" s="15" t="n">
        <v>8</v>
      </c>
      <c r="E70" s="15" t="s">
        <v>379</v>
      </c>
      <c r="F70" s="15" t="s">
        <v>394</v>
      </c>
      <c r="G70" s="14"/>
    </row>
    <row r="71" customFormat="false" ht="15" hidden="false" customHeight="false" outlineLevel="0" collapsed="false">
      <c r="A71" s="41" t="s">
        <v>244</v>
      </c>
      <c r="B71" s="14" t="s">
        <v>404</v>
      </c>
      <c r="C71" s="14" t="s">
        <v>519</v>
      </c>
      <c r="D71" s="15" t="n">
        <v>1</v>
      </c>
      <c r="E71" s="15" t="s">
        <v>379</v>
      </c>
      <c r="F71" s="15" t="s">
        <v>394</v>
      </c>
      <c r="G71" s="14"/>
    </row>
    <row r="72" customFormat="false" ht="15" hidden="false" customHeight="false" outlineLevel="0" collapsed="false">
      <c r="A72" s="41" t="s">
        <v>244</v>
      </c>
      <c r="B72" s="14" t="s">
        <v>404</v>
      </c>
      <c r="C72" s="14" t="s">
        <v>405</v>
      </c>
      <c r="D72" s="15" t="n">
        <v>1</v>
      </c>
      <c r="E72" s="15" t="s">
        <v>379</v>
      </c>
      <c r="F72" s="15" t="s">
        <v>394</v>
      </c>
      <c r="G72" s="14"/>
    </row>
    <row r="74" customFormat="false" ht="15" hidden="false" customHeight="false" outlineLevel="0" collapsed="false">
      <c r="A74" s="48" t="s">
        <v>247</v>
      </c>
      <c r="B74" s="24" t="s">
        <v>561</v>
      </c>
      <c r="C74" s="24"/>
      <c r="D74" s="24"/>
      <c r="E74" s="24"/>
      <c r="F74" s="24"/>
      <c r="G74" s="24"/>
    </row>
    <row r="75" customFormat="false" ht="30" hidden="false" customHeight="true" outlineLevel="0" collapsed="false">
      <c r="A75" s="49" t="s">
        <v>247</v>
      </c>
      <c r="B75" s="50" t="s">
        <v>562</v>
      </c>
      <c r="C75" s="50"/>
      <c r="D75" s="50"/>
      <c r="E75" s="50"/>
      <c r="F75" s="50"/>
      <c r="G75" s="50"/>
    </row>
    <row r="76" customFormat="false" ht="15" hidden="false" customHeight="false" outlineLevel="0" collapsed="false">
      <c r="A76" s="41" t="s">
        <v>247</v>
      </c>
      <c r="B76" s="14" t="s">
        <v>392</v>
      </c>
      <c r="C76" s="14" t="s">
        <v>393</v>
      </c>
      <c r="D76" s="15" t="n">
        <v>1</v>
      </c>
      <c r="E76" s="15" t="s">
        <v>379</v>
      </c>
      <c r="F76" s="15" t="s">
        <v>394</v>
      </c>
      <c r="G76" s="14"/>
    </row>
    <row r="77" customFormat="false" ht="15" hidden="false" customHeight="false" outlineLevel="0" collapsed="false">
      <c r="A77" s="41" t="s">
        <v>247</v>
      </c>
      <c r="B77" s="14" t="s">
        <v>447</v>
      </c>
      <c r="C77" s="14" t="s">
        <v>517</v>
      </c>
      <c r="D77" s="15" t="n">
        <v>1</v>
      </c>
      <c r="E77" s="15" t="s">
        <v>379</v>
      </c>
      <c r="F77" s="15" t="s">
        <v>394</v>
      </c>
      <c r="G77" s="14"/>
    </row>
    <row r="78" customFormat="false" ht="15" hidden="false" customHeight="false" outlineLevel="0" collapsed="false">
      <c r="A78" s="41" t="s">
        <v>247</v>
      </c>
      <c r="B78" s="14" t="s">
        <v>522</v>
      </c>
      <c r="C78" s="14" t="s">
        <v>523</v>
      </c>
      <c r="D78" s="15" t="n">
        <v>1</v>
      </c>
      <c r="E78" s="15" t="s">
        <v>379</v>
      </c>
      <c r="F78" s="15" t="s">
        <v>394</v>
      </c>
      <c r="G78" s="14"/>
    </row>
    <row r="79" customFormat="false" ht="15" hidden="false" customHeight="false" outlineLevel="0" collapsed="false">
      <c r="A79" s="41" t="s">
        <v>247</v>
      </c>
      <c r="B79" s="14" t="s">
        <v>396</v>
      </c>
      <c r="C79" s="14" t="s">
        <v>500</v>
      </c>
      <c r="D79" s="15" t="n">
        <v>1</v>
      </c>
      <c r="E79" s="15" t="s">
        <v>379</v>
      </c>
      <c r="F79" s="15" t="s">
        <v>394</v>
      </c>
      <c r="G79" s="14"/>
    </row>
    <row r="80" customFormat="false" ht="15" hidden="false" customHeight="false" outlineLevel="0" collapsed="false">
      <c r="A80" s="41" t="s">
        <v>247</v>
      </c>
      <c r="B80" s="14" t="s">
        <v>396</v>
      </c>
      <c r="C80" s="14" t="s">
        <v>397</v>
      </c>
      <c r="D80" s="15" t="n">
        <v>1</v>
      </c>
      <c r="E80" s="15" t="s">
        <v>379</v>
      </c>
      <c r="F80" s="15" t="s">
        <v>394</v>
      </c>
      <c r="G80" s="14"/>
    </row>
    <row r="81" customFormat="false" ht="15" hidden="false" customHeight="false" outlineLevel="0" collapsed="false">
      <c r="A81" s="41" t="s">
        <v>247</v>
      </c>
      <c r="B81" s="14" t="s">
        <v>377</v>
      </c>
      <c r="C81" s="14" t="s">
        <v>378</v>
      </c>
      <c r="D81" s="15" t="n">
        <v>2</v>
      </c>
      <c r="E81" s="15" t="s">
        <v>379</v>
      </c>
      <c r="F81" s="15" t="s">
        <v>380</v>
      </c>
      <c r="G81" s="14" t="s">
        <v>563</v>
      </c>
    </row>
    <row r="82" customFormat="false" ht="15" hidden="false" customHeight="false" outlineLevel="0" collapsed="false">
      <c r="A82" s="41" t="s">
        <v>247</v>
      </c>
      <c r="B82" s="14" t="s">
        <v>398</v>
      </c>
      <c r="C82" s="14" t="s">
        <v>400</v>
      </c>
      <c r="D82" s="15" t="n">
        <v>2</v>
      </c>
      <c r="E82" s="15" t="s">
        <v>379</v>
      </c>
      <c r="F82" s="15" t="s">
        <v>380</v>
      </c>
      <c r="G82" s="14"/>
    </row>
    <row r="83" customFormat="false" ht="15" hidden="false" customHeight="false" outlineLevel="0" collapsed="false">
      <c r="A83" s="41" t="s">
        <v>247</v>
      </c>
      <c r="B83" s="14" t="s">
        <v>398</v>
      </c>
      <c r="C83" s="14" t="s">
        <v>525</v>
      </c>
      <c r="D83" s="15" t="n">
        <v>1</v>
      </c>
      <c r="E83" s="15" t="s">
        <v>379</v>
      </c>
      <c r="F83" s="15" t="s">
        <v>380</v>
      </c>
      <c r="G83" s="14"/>
    </row>
    <row r="84" customFormat="false" ht="15" hidden="false" customHeight="false" outlineLevel="0" collapsed="false">
      <c r="A84" s="41" t="s">
        <v>247</v>
      </c>
      <c r="B84" s="14" t="s">
        <v>398</v>
      </c>
      <c r="C84" s="14" t="s">
        <v>401</v>
      </c>
      <c r="D84" s="15" t="n">
        <v>1</v>
      </c>
      <c r="E84" s="15" t="s">
        <v>379</v>
      </c>
      <c r="F84" s="15" t="s">
        <v>380</v>
      </c>
      <c r="G84" s="14"/>
    </row>
    <row r="85" customFormat="false" ht="15" hidden="false" customHeight="false" outlineLevel="0" collapsed="false">
      <c r="A85" s="41" t="s">
        <v>247</v>
      </c>
      <c r="B85" s="14" t="s">
        <v>381</v>
      </c>
      <c r="C85" s="14" t="s">
        <v>502</v>
      </c>
      <c r="D85" s="15" t="n">
        <v>1</v>
      </c>
      <c r="E85" s="15" t="s">
        <v>379</v>
      </c>
      <c r="F85" s="15" t="s">
        <v>380</v>
      </c>
      <c r="G85" s="14"/>
    </row>
    <row r="86" customFormat="false" ht="15" hidden="false" customHeight="false" outlineLevel="0" collapsed="false">
      <c r="A86" s="41" t="s">
        <v>247</v>
      </c>
      <c r="B86" s="14" t="s">
        <v>383</v>
      </c>
      <c r="C86" s="14" t="s">
        <v>421</v>
      </c>
      <c r="D86" s="15" t="n">
        <v>10</v>
      </c>
      <c r="E86" s="15" t="s">
        <v>379</v>
      </c>
      <c r="F86" s="15" t="s">
        <v>394</v>
      </c>
      <c r="G86" s="14"/>
    </row>
    <row r="87" customFormat="false" ht="15" hidden="false" customHeight="false" outlineLevel="0" collapsed="false">
      <c r="A87" s="41" t="s">
        <v>247</v>
      </c>
      <c r="B87" s="14" t="s">
        <v>383</v>
      </c>
      <c r="C87" s="14" t="s">
        <v>403</v>
      </c>
      <c r="D87" s="15" t="n">
        <v>8</v>
      </c>
      <c r="E87" s="15" t="s">
        <v>379</v>
      </c>
      <c r="F87" s="15" t="s">
        <v>394</v>
      </c>
      <c r="G87" s="14"/>
    </row>
    <row r="88" customFormat="false" ht="15" hidden="false" customHeight="false" outlineLevel="0" collapsed="false">
      <c r="A88" s="41" t="s">
        <v>247</v>
      </c>
      <c r="B88" s="14" t="s">
        <v>404</v>
      </c>
      <c r="C88" s="14" t="s">
        <v>527</v>
      </c>
      <c r="D88" s="15" t="n">
        <v>1</v>
      </c>
      <c r="E88" s="15" t="s">
        <v>379</v>
      </c>
      <c r="F88" s="15" t="s">
        <v>394</v>
      </c>
      <c r="G88" s="14"/>
    </row>
    <row r="89" customFormat="false" ht="15" hidden="false" customHeight="false" outlineLevel="0" collapsed="false">
      <c r="A89" s="41" t="s">
        <v>247</v>
      </c>
      <c r="B89" s="14" t="s">
        <v>404</v>
      </c>
      <c r="C89" s="14" t="s">
        <v>405</v>
      </c>
      <c r="D89" s="15" t="n">
        <v>1</v>
      </c>
      <c r="E89" s="15" t="s">
        <v>379</v>
      </c>
      <c r="F89" s="15" t="s">
        <v>394</v>
      </c>
      <c r="G89" s="14"/>
    </row>
    <row r="91" customFormat="false" ht="15" hidden="false" customHeight="false" outlineLevel="0" collapsed="false">
      <c r="A91" s="48" t="s">
        <v>251</v>
      </c>
      <c r="B91" s="24" t="s">
        <v>564</v>
      </c>
      <c r="C91" s="24"/>
      <c r="D91" s="24"/>
      <c r="E91" s="24"/>
      <c r="F91" s="24"/>
      <c r="G91" s="24"/>
    </row>
    <row r="92" customFormat="false" ht="30" hidden="false" customHeight="true" outlineLevel="0" collapsed="false">
      <c r="A92" s="49" t="s">
        <v>251</v>
      </c>
      <c r="B92" s="50" t="s">
        <v>565</v>
      </c>
      <c r="C92" s="50"/>
      <c r="D92" s="50"/>
      <c r="E92" s="50"/>
      <c r="F92" s="50"/>
      <c r="G92" s="50"/>
    </row>
    <row r="93" customFormat="false" ht="15" hidden="false" customHeight="false" outlineLevel="0" collapsed="false">
      <c r="A93" s="41" t="s">
        <v>251</v>
      </c>
      <c r="B93" s="14" t="s">
        <v>392</v>
      </c>
      <c r="C93" s="14" t="s">
        <v>393</v>
      </c>
      <c r="D93" s="15" t="n">
        <v>1</v>
      </c>
      <c r="E93" s="15" t="s">
        <v>379</v>
      </c>
      <c r="F93" s="15" t="s">
        <v>394</v>
      </c>
      <c r="G93" s="14"/>
    </row>
    <row r="94" customFormat="false" ht="15" hidden="false" customHeight="false" outlineLevel="0" collapsed="false">
      <c r="A94" s="41" t="s">
        <v>251</v>
      </c>
      <c r="B94" s="14" t="s">
        <v>419</v>
      </c>
      <c r="C94" s="14" t="s">
        <v>530</v>
      </c>
      <c r="D94" s="15" t="n">
        <v>1</v>
      </c>
      <c r="E94" s="15" t="s">
        <v>379</v>
      </c>
      <c r="F94" s="15" t="s">
        <v>394</v>
      </c>
      <c r="G94" s="14"/>
    </row>
    <row r="95" customFormat="false" ht="15" hidden="false" customHeight="false" outlineLevel="0" collapsed="false">
      <c r="A95" s="41" t="s">
        <v>251</v>
      </c>
      <c r="B95" s="14" t="s">
        <v>396</v>
      </c>
      <c r="C95" s="14" t="s">
        <v>436</v>
      </c>
      <c r="D95" s="15" t="n">
        <v>3</v>
      </c>
      <c r="E95" s="15" t="s">
        <v>379</v>
      </c>
      <c r="F95" s="15" t="s">
        <v>394</v>
      </c>
      <c r="G95" s="14"/>
    </row>
    <row r="96" customFormat="false" ht="15" hidden="false" customHeight="false" outlineLevel="0" collapsed="false">
      <c r="A96" s="41" t="s">
        <v>251</v>
      </c>
      <c r="B96" s="14" t="s">
        <v>398</v>
      </c>
      <c r="C96" s="14" t="s">
        <v>399</v>
      </c>
      <c r="D96" s="15" t="n">
        <v>1</v>
      </c>
      <c r="E96" s="15" t="s">
        <v>379</v>
      </c>
      <c r="F96" s="15" t="s">
        <v>394</v>
      </c>
      <c r="G96" s="14"/>
    </row>
    <row r="97" customFormat="false" ht="15" hidden="false" customHeight="false" outlineLevel="0" collapsed="false">
      <c r="A97" s="41" t="s">
        <v>251</v>
      </c>
      <c r="B97" s="14" t="s">
        <v>381</v>
      </c>
      <c r="C97" s="14" t="s">
        <v>502</v>
      </c>
      <c r="D97" s="15" t="n">
        <v>1</v>
      </c>
      <c r="E97" s="15" t="s">
        <v>379</v>
      </c>
      <c r="F97" s="15" t="s">
        <v>380</v>
      </c>
      <c r="G97" s="14" t="s">
        <v>566</v>
      </c>
    </row>
    <row r="98" customFormat="false" ht="15" hidden="false" customHeight="false" outlineLevel="0" collapsed="false">
      <c r="A98" s="41" t="s">
        <v>251</v>
      </c>
      <c r="B98" s="14" t="s">
        <v>383</v>
      </c>
      <c r="C98" s="14" t="s">
        <v>402</v>
      </c>
      <c r="D98" s="15" t="n">
        <v>1</v>
      </c>
      <c r="E98" s="15" t="s">
        <v>379</v>
      </c>
      <c r="F98" s="15" t="s">
        <v>394</v>
      </c>
      <c r="G98" s="14"/>
    </row>
    <row r="99" customFormat="false" ht="15" hidden="false" customHeight="false" outlineLevel="0" collapsed="false">
      <c r="A99" s="41" t="s">
        <v>251</v>
      </c>
      <c r="B99" s="14" t="s">
        <v>383</v>
      </c>
      <c r="C99" s="14" t="s">
        <v>403</v>
      </c>
      <c r="D99" s="15" t="n">
        <v>12</v>
      </c>
      <c r="E99" s="15" t="s">
        <v>379</v>
      </c>
      <c r="F99" s="15" t="s">
        <v>394</v>
      </c>
      <c r="G99" s="14"/>
    </row>
    <row r="100" customFormat="false" ht="15" hidden="false" customHeight="false" outlineLevel="0" collapsed="false">
      <c r="A100" s="41" t="s">
        <v>251</v>
      </c>
      <c r="B100" s="14" t="s">
        <v>383</v>
      </c>
      <c r="C100" s="14" t="s">
        <v>421</v>
      </c>
      <c r="D100" s="15" t="n">
        <v>6</v>
      </c>
      <c r="E100" s="15" t="s">
        <v>379</v>
      </c>
      <c r="F100" s="15" t="s">
        <v>394</v>
      </c>
      <c r="G100" s="14"/>
    </row>
    <row r="101" customFormat="false" ht="15" hidden="false" customHeight="false" outlineLevel="0" collapsed="false">
      <c r="A101" s="41" t="s">
        <v>251</v>
      </c>
      <c r="B101" s="14" t="s">
        <v>404</v>
      </c>
      <c r="C101" s="14" t="s">
        <v>567</v>
      </c>
      <c r="D101" s="15" t="n">
        <v>1</v>
      </c>
      <c r="E101" s="42" t="s">
        <v>20</v>
      </c>
      <c r="F101" s="15" t="s">
        <v>394</v>
      </c>
      <c r="G101" s="14"/>
    </row>
    <row r="102" customFormat="false" ht="15" hidden="false" customHeight="false" outlineLevel="0" collapsed="false">
      <c r="A102" s="41" t="s">
        <v>251</v>
      </c>
      <c r="B102" s="14" t="s">
        <v>404</v>
      </c>
      <c r="C102" s="14" t="s">
        <v>405</v>
      </c>
      <c r="D102" s="15" t="n">
        <v>1</v>
      </c>
      <c r="E102" s="15" t="s">
        <v>379</v>
      </c>
      <c r="F102" s="15" t="s">
        <v>394</v>
      </c>
      <c r="G102" s="14"/>
    </row>
    <row r="103" customFormat="false" ht="15" hidden="false" customHeight="false" outlineLevel="0" collapsed="false">
      <c r="A103" s="41" t="s">
        <v>251</v>
      </c>
      <c r="B103" s="14" t="s">
        <v>386</v>
      </c>
      <c r="C103" s="14" t="s">
        <v>443</v>
      </c>
      <c r="D103" s="15" t="n">
        <v>10</v>
      </c>
      <c r="E103" s="15" t="s">
        <v>379</v>
      </c>
      <c r="F103" s="15" t="s">
        <v>380</v>
      </c>
      <c r="G103" s="14" t="s">
        <v>568</v>
      </c>
    </row>
    <row r="105" customFormat="false" ht="15" hidden="false" customHeight="false" outlineLevel="0" collapsed="false">
      <c r="A105" s="48" t="s">
        <v>255</v>
      </c>
      <c r="B105" s="24" t="s">
        <v>569</v>
      </c>
      <c r="C105" s="24"/>
      <c r="D105" s="24"/>
      <c r="E105" s="24"/>
      <c r="F105" s="24"/>
      <c r="G105" s="24"/>
    </row>
    <row r="106" customFormat="false" ht="30" hidden="false" customHeight="true" outlineLevel="0" collapsed="false">
      <c r="A106" s="49" t="s">
        <v>255</v>
      </c>
      <c r="B106" s="50" t="s">
        <v>570</v>
      </c>
      <c r="C106" s="50"/>
      <c r="D106" s="50"/>
      <c r="E106" s="50"/>
      <c r="F106" s="50"/>
      <c r="G106" s="50"/>
    </row>
    <row r="107" customFormat="false" ht="15" hidden="false" customHeight="false" outlineLevel="0" collapsed="false">
      <c r="A107" s="41" t="s">
        <v>255</v>
      </c>
      <c r="B107" s="14" t="s">
        <v>392</v>
      </c>
      <c r="C107" s="14" t="s">
        <v>393</v>
      </c>
      <c r="D107" s="15" t="n">
        <v>1</v>
      </c>
      <c r="E107" s="15" t="s">
        <v>379</v>
      </c>
      <c r="F107" s="15" t="s">
        <v>394</v>
      </c>
      <c r="G107" s="14"/>
    </row>
    <row r="108" customFormat="false" ht="15" hidden="false" customHeight="false" outlineLevel="0" collapsed="false">
      <c r="A108" s="41" t="s">
        <v>255</v>
      </c>
      <c r="B108" s="14" t="s">
        <v>571</v>
      </c>
      <c r="C108" s="14" t="s">
        <v>572</v>
      </c>
      <c r="D108" s="15" t="n">
        <v>1</v>
      </c>
      <c r="E108" s="15" t="s">
        <v>379</v>
      </c>
      <c r="F108" s="15" t="s">
        <v>394</v>
      </c>
      <c r="G108" s="14"/>
    </row>
    <row r="109" customFormat="false" ht="15" hidden="false" customHeight="false" outlineLevel="0" collapsed="false">
      <c r="A109" s="41" t="s">
        <v>255</v>
      </c>
      <c r="B109" s="14" t="s">
        <v>396</v>
      </c>
      <c r="C109" s="14" t="s">
        <v>436</v>
      </c>
      <c r="D109" s="15" t="n">
        <v>1</v>
      </c>
      <c r="E109" s="15" t="s">
        <v>379</v>
      </c>
      <c r="F109" s="15" t="s">
        <v>394</v>
      </c>
      <c r="G109" s="14"/>
    </row>
    <row r="110" customFormat="false" ht="15" hidden="false" customHeight="false" outlineLevel="0" collapsed="false">
      <c r="A110" s="41" t="s">
        <v>255</v>
      </c>
      <c r="B110" s="14" t="s">
        <v>396</v>
      </c>
      <c r="C110" s="14" t="s">
        <v>397</v>
      </c>
      <c r="D110" s="15" t="n">
        <v>1</v>
      </c>
      <c r="E110" s="15" t="s">
        <v>379</v>
      </c>
      <c r="F110" s="15" t="s">
        <v>394</v>
      </c>
      <c r="G110" s="14"/>
    </row>
    <row r="111" customFormat="false" ht="15" hidden="false" customHeight="false" outlineLevel="0" collapsed="false">
      <c r="A111" s="41" t="s">
        <v>255</v>
      </c>
      <c r="B111" s="14" t="s">
        <v>377</v>
      </c>
      <c r="C111" s="14" t="s">
        <v>478</v>
      </c>
      <c r="D111" s="15" t="n">
        <v>1</v>
      </c>
      <c r="E111" s="15" t="s">
        <v>379</v>
      </c>
      <c r="F111" s="15" t="s">
        <v>394</v>
      </c>
      <c r="G111" s="14"/>
    </row>
    <row r="112" customFormat="false" ht="15" hidden="false" customHeight="false" outlineLevel="0" collapsed="false">
      <c r="A112" s="41" t="s">
        <v>255</v>
      </c>
      <c r="B112" s="14" t="s">
        <v>377</v>
      </c>
      <c r="C112" s="14" t="s">
        <v>378</v>
      </c>
      <c r="D112" s="15" t="n">
        <v>2</v>
      </c>
      <c r="E112" s="15" t="s">
        <v>379</v>
      </c>
      <c r="F112" s="15" t="s">
        <v>380</v>
      </c>
      <c r="G112" s="14" t="s">
        <v>493</v>
      </c>
    </row>
    <row r="113" customFormat="false" ht="15" hidden="false" customHeight="false" outlineLevel="0" collapsed="false">
      <c r="A113" s="41" t="s">
        <v>255</v>
      </c>
      <c r="B113" s="14" t="s">
        <v>398</v>
      </c>
      <c r="C113" s="14" t="s">
        <v>400</v>
      </c>
      <c r="D113" s="15" t="n">
        <v>2</v>
      </c>
      <c r="E113" s="15" t="s">
        <v>379</v>
      </c>
      <c r="F113" s="15" t="s">
        <v>380</v>
      </c>
      <c r="G113" s="14"/>
    </row>
    <row r="114" customFormat="false" ht="15" hidden="false" customHeight="false" outlineLevel="0" collapsed="false">
      <c r="A114" s="41" t="s">
        <v>255</v>
      </c>
      <c r="B114" s="14" t="s">
        <v>383</v>
      </c>
      <c r="C114" s="14" t="s">
        <v>402</v>
      </c>
      <c r="D114" s="15" t="n">
        <v>1</v>
      </c>
      <c r="E114" s="15" t="s">
        <v>379</v>
      </c>
      <c r="F114" s="15" t="s">
        <v>394</v>
      </c>
      <c r="G114" s="14"/>
    </row>
    <row r="115" customFormat="false" ht="15" hidden="false" customHeight="false" outlineLevel="0" collapsed="false">
      <c r="A115" s="41" t="s">
        <v>255</v>
      </c>
      <c r="B115" s="14" t="s">
        <v>383</v>
      </c>
      <c r="C115" s="14" t="s">
        <v>403</v>
      </c>
      <c r="D115" s="15" t="n">
        <v>10</v>
      </c>
      <c r="E115" s="15" t="s">
        <v>379</v>
      </c>
      <c r="F115" s="15" t="s">
        <v>394</v>
      </c>
      <c r="G115" s="14"/>
    </row>
    <row r="116" customFormat="false" ht="15" hidden="false" customHeight="false" outlineLevel="0" collapsed="false">
      <c r="A116" s="41" t="s">
        <v>255</v>
      </c>
      <c r="B116" s="14" t="s">
        <v>383</v>
      </c>
      <c r="C116" s="14" t="s">
        <v>421</v>
      </c>
      <c r="D116" s="15" t="n">
        <v>10</v>
      </c>
      <c r="E116" s="15" t="s">
        <v>379</v>
      </c>
      <c r="F116" s="15" t="s">
        <v>394</v>
      </c>
      <c r="G116" s="14"/>
    </row>
    <row r="117" customFormat="false" ht="15" hidden="false" customHeight="false" outlineLevel="0" collapsed="false">
      <c r="A117" s="41" t="s">
        <v>255</v>
      </c>
      <c r="B117" s="14" t="s">
        <v>404</v>
      </c>
      <c r="C117" s="14" t="s">
        <v>405</v>
      </c>
      <c r="D117" s="15" t="n">
        <v>1</v>
      </c>
      <c r="E117" s="15" t="s">
        <v>379</v>
      </c>
      <c r="F117" s="15" t="s">
        <v>394</v>
      </c>
      <c r="G117" s="14"/>
    </row>
    <row r="119" customFormat="false" ht="15" hidden="false" customHeight="false" outlineLevel="0" collapsed="false">
      <c r="A119" s="48" t="s">
        <v>260</v>
      </c>
      <c r="B119" s="24" t="s">
        <v>573</v>
      </c>
      <c r="C119" s="24"/>
      <c r="D119" s="24"/>
      <c r="E119" s="24"/>
      <c r="F119" s="24"/>
      <c r="G119" s="24"/>
    </row>
    <row r="120" customFormat="false" ht="30" hidden="false" customHeight="true" outlineLevel="0" collapsed="false">
      <c r="A120" s="49" t="s">
        <v>260</v>
      </c>
      <c r="B120" s="50" t="s">
        <v>574</v>
      </c>
      <c r="C120" s="50"/>
      <c r="D120" s="50"/>
      <c r="E120" s="50"/>
      <c r="F120" s="50"/>
      <c r="G120" s="50"/>
    </row>
    <row r="121" customFormat="false" ht="15" hidden="false" customHeight="false" outlineLevel="0" collapsed="false">
      <c r="A121" s="41" t="s">
        <v>260</v>
      </c>
      <c r="B121" s="14" t="s">
        <v>392</v>
      </c>
      <c r="C121" s="14" t="s">
        <v>393</v>
      </c>
      <c r="D121" s="15" t="n">
        <v>1</v>
      </c>
      <c r="E121" s="15" t="s">
        <v>379</v>
      </c>
      <c r="F121" s="15" t="s">
        <v>394</v>
      </c>
      <c r="G121" s="14"/>
    </row>
    <row r="122" customFormat="false" ht="15" hidden="false" customHeight="false" outlineLevel="0" collapsed="false">
      <c r="A122" s="41" t="s">
        <v>260</v>
      </c>
      <c r="B122" s="14" t="s">
        <v>377</v>
      </c>
      <c r="C122" s="14" t="s">
        <v>478</v>
      </c>
      <c r="D122" s="15" t="n">
        <v>1</v>
      </c>
      <c r="E122" s="15" t="s">
        <v>379</v>
      </c>
      <c r="F122" s="15" t="s">
        <v>394</v>
      </c>
      <c r="G122" s="14"/>
    </row>
    <row r="123" customFormat="false" ht="15" hidden="false" customHeight="false" outlineLevel="0" collapsed="false">
      <c r="A123" s="41" t="s">
        <v>260</v>
      </c>
      <c r="B123" s="14" t="s">
        <v>398</v>
      </c>
      <c r="C123" s="14" t="s">
        <v>401</v>
      </c>
      <c r="D123" s="15" t="n">
        <v>2</v>
      </c>
      <c r="E123" s="15" t="s">
        <v>379</v>
      </c>
      <c r="F123" s="15" t="s">
        <v>380</v>
      </c>
      <c r="G123" s="14" t="s">
        <v>575</v>
      </c>
    </row>
    <row r="124" customFormat="false" ht="15" hidden="false" customHeight="false" outlineLevel="0" collapsed="false">
      <c r="A124" s="41" t="s">
        <v>260</v>
      </c>
      <c r="B124" s="14" t="s">
        <v>381</v>
      </c>
      <c r="C124" s="14" t="s">
        <v>576</v>
      </c>
      <c r="D124" s="15" t="n">
        <v>1</v>
      </c>
      <c r="E124" s="15" t="s">
        <v>379</v>
      </c>
      <c r="F124" s="15" t="s">
        <v>394</v>
      </c>
      <c r="G124" s="14" t="s">
        <v>577</v>
      </c>
    </row>
    <row r="125" customFormat="false" ht="15" hidden="false" customHeight="false" outlineLevel="0" collapsed="false">
      <c r="A125" s="41" t="s">
        <v>260</v>
      </c>
      <c r="B125" s="14" t="s">
        <v>381</v>
      </c>
      <c r="C125" s="14" t="s">
        <v>578</v>
      </c>
      <c r="D125" s="15" t="n">
        <v>1</v>
      </c>
      <c r="E125" s="15" t="s">
        <v>379</v>
      </c>
      <c r="F125" s="15" t="s">
        <v>394</v>
      </c>
      <c r="G125" s="14"/>
    </row>
    <row r="126" customFormat="false" ht="15" hidden="false" customHeight="false" outlineLevel="0" collapsed="false">
      <c r="A126" s="41" t="s">
        <v>260</v>
      </c>
      <c r="B126" s="14" t="s">
        <v>381</v>
      </c>
      <c r="C126" s="14" t="s">
        <v>579</v>
      </c>
      <c r="D126" s="15" t="n">
        <v>1</v>
      </c>
      <c r="E126" s="15" t="s">
        <v>379</v>
      </c>
      <c r="F126" s="15" t="s">
        <v>394</v>
      </c>
      <c r="G126" s="14"/>
    </row>
    <row r="127" customFormat="false" ht="15" hidden="false" customHeight="false" outlineLevel="0" collapsed="false">
      <c r="A127" s="41" t="s">
        <v>260</v>
      </c>
      <c r="B127" s="14" t="s">
        <v>383</v>
      </c>
      <c r="C127" s="14" t="s">
        <v>402</v>
      </c>
      <c r="D127" s="15" t="n">
        <v>1</v>
      </c>
      <c r="E127" s="15" t="s">
        <v>379</v>
      </c>
      <c r="F127" s="15" t="s">
        <v>394</v>
      </c>
      <c r="G127" s="14"/>
    </row>
    <row r="128" customFormat="false" ht="15" hidden="false" customHeight="false" outlineLevel="0" collapsed="false">
      <c r="A128" s="41" t="s">
        <v>260</v>
      </c>
      <c r="B128" s="14" t="s">
        <v>383</v>
      </c>
      <c r="C128" s="14" t="s">
        <v>403</v>
      </c>
      <c r="D128" s="15" t="n">
        <v>10</v>
      </c>
      <c r="E128" s="15" t="s">
        <v>379</v>
      </c>
      <c r="F128" s="15" t="s">
        <v>394</v>
      </c>
      <c r="G128" s="14"/>
    </row>
    <row r="129" customFormat="false" ht="15" hidden="false" customHeight="false" outlineLevel="0" collapsed="false">
      <c r="A129" s="41" t="s">
        <v>260</v>
      </c>
      <c r="B129" s="14" t="s">
        <v>383</v>
      </c>
      <c r="C129" s="14" t="s">
        <v>421</v>
      </c>
      <c r="D129" s="15" t="n">
        <v>4</v>
      </c>
      <c r="E129" s="15" t="s">
        <v>379</v>
      </c>
      <c r="F129" s="15" t="s">
        <v>394</v>
      </c>
      <c r="G129" s="14"/>
    </row>
    <row r="130" customFormat="false" ht="15" hidden="false" customHeight="false" outlineLevel="0" collapsed="false">
      <c r="A130" s="41" t="s">
        <v>260</v>
      </c>
      <c r="B130" s="14" t="s">
        <v>404</v>
      </c>
      <c r="C130" s="14" t="s">
        <v>475</v>
      </c>
      <c r="D130" s="15" t="n">
        <v>1</v>
      </c>
      <c r="E130" s="15" t="s">
        <v>379</v>
      </c>
      <c r="F130" s="15" t="s">
        <v>394</v>
      </c>
      <c r="G130" s="14"/>
    </row>
    <row r="131" customFormat="false" ht="15" hidden="false" customHeight="false" outlineLevel="0" collapsed="false">
      <c r="A131" s="41" t="s">
        <v>260</v>
      </c>
      <c r="B131" s="14" t="s">
        <v>404</v>
      </c>
      <c r="C131" s="14" t="s">
        <v>405</v>
      </c>
      <c r="D131" s="15" t="n">
        <v>1</v>
      </c>
      <c r="E131" s="15" t="s">
        <v>379</v>
      </c>
      <c r="F131" s="15" t="s">
        <v>394</v>
      </c>
      <c r="G131" s="14"/>
    </row>
    <row r="133" customFormat="false" ht="15" hidden="false" customHeight="false" outlineLevel="0" collapsed="false">
      <c r="A133" s="48" t="s">
        <v>264</v>
      </c>
      <c r="B133" s="24" t="s">
        <v>580</v>
      </c>
      <c r="C133" s="24"/>
      <c r="D133" s="24"/>
      <c r="E133" s="24"/>
      <c r="F133" s="24"/>
      <c r="G133" s="24"/>
    </row>
    <row r="134" customFormat="false" ht="30" hidden="false" customHeight="true" outlineLevel="0" collapsed="false">
      <c r="A134" s="49" t="s">
        <v>264</v>
      </c>
      <c r="B134" s="50" t="s">
        <v>581</v>
      </c>
      <c r="C134" s="50"/>
      <c r="D134" s="50"/>
      <c r="E134" s="50"/>
      <c r="F134" s="50"/>
      <c r="G134" s="50"/>
    </row>
    <row r="135" customFormat="false" ht="15" hidden="false" customHeight="false" outlineLevel="0" collapsed="false">
      <c r="A135" s="41" t="s">
        <v>264</v>
      </c>
      <c r="B135" s="14" t="s">
        <v>392</v>
      </c>
      <c r="C135" s="14" t="s">
        <v>393</v>
      </c>
      <c r="D135" s="15" t="n">
        <v>2</v>
      </c>
      <c r="E135" s="15" t="s">
        <v>379</v>
      </c>
      <c r="F135" s="15" t="s">
        <v>394</v>
      </c>
      <c r="G135" s="14" t="s">
        <v>582</v>
      </c>
    </row>
    <row r="136" customFormat="false" ht="15" hidden="false" customHeight="false" outlineLevel="0" collapsed="false">
      <c r="A136" s="41" t="s">
        <v>264</v>
      </c>
      <c r="B136" s="14" t="s">
        <v>522</v>
      </c>
      <c r="C136" s="14" t="s">
        <v>583</v>
      </c>
      <c r="D136" s="15" t="n">
        <v>2</v>
      </c>
      <c r="E136" s="15" t="s">
        <v>379</v>
      </c>
      <c r="F136" s="15" t="s">
        <v>394</v>
      </c>
      <c r="G136" s="14"/>
    </row>
    <row r="137" customFormat="false" ht="15" hidden="false" customHeight="false" outlineLevel="0" collapsed="false">
      <c r="A137" s="41" t="s">
        <v>264</v>
      </c>
      <c r="B137" s="14" t="s">
        <v>396</v>
      </c>
      <c r="C137" s="14" t="s">
        <v>397</v>
      </c>
      <c r="D137" s="15" t="n">
        <v>1</v>
      </c>
      <c r="E137" s="15" t="s">
        <v>379</v>
      </c>
      <c r="F137" s="15" t="s">
        <v>394</v>
      </c>
      <c r="G137" s="14"/>
    </row>
    <row r="138" customFormat="false" ht="15" hidden="false" customHeight="false" outlineLevel="0" collapsed="false">
      <c r="A138" s="41" t="s">
        <v>264</v>
      </c>
      <c r="B138" s="14" t="s">
        <v>377</v>
      </c>
      <c r="C138" s="14" t="s">
        <v>478</v>
      </c>
      <c r="D138" s="15" t="n">
        <v>1</v>
      </c>
      <c r="E138" s="15" t="s">
        <v>379</v>
      </c>
      <c r="F138" s="15" t="s">
        <v>394</v>
      </c>
      <c r="G138" s="14"/>
    </row>
    <row r="139" customFormat="false" ht="15" hidden="false" customHeight="false" outlineLevel="0" collapsed="false">
      <c r="A139" s="41" t="s">
        <v>264</v>
      </c>
      <c r="B139" s="14" t="s">
        <v>398</v>
      </c>
      <c r="C139" s="14" t="s">
        <v>399</v>
      </c>
      <c r="D139" s="15" t="n">
        <v>1</v>
      </c>
      <c r="E139" s="15" t="s">
        <v>379</v>
      </c>
      <c r="F139" s="15" t="s">
        <v>394</v>
      </c>
      <c r="G139" s="14"/>
    </row>
    <row r="140" customFormat="false" ht="15" hidden="false" customHeight="false" outlineLevel="0" collapsed="false">
      <c r="A140" s="41" t="s">
        <v>264</v>
      </c>
      <c r="B140" s="14" t="s">
        <v>398</v>
      </c>
      <c r="C140" s="14" t="s">
        <v>401</v>
      </c>
      <c r="D140" s="15" t="n">
        <v>1</v>
      </c>
      <c r="E140" s="15" t="s">
        <v>379</v>
      </c>
      <c r="F140" s="15" t="s">
        <v>380</v>
      </c>
      <c r="G140" s="14"/>
    </row>
    <row r="141" customFormat="false" ht="15" hidden="false" customHeight="false" outlineLevel="0" collapsed="false">
      <c r="A141" s="41" t="s">
        <v>264</v>
      </c>
      <c r="B141" s="14" t="s">
        <v>398</v>
      </c>
      <c r="C141" s="14" t="s">
        <v>544</v>
      </c>
      <c r="D141" s="15" t="n">
        <v>2</v>
      </c>
      <c r="E141" s="15" t="s">
        <v>379</v>
      </c>
      <c r="F141" s="15" t="s">
        <v>380</v>
      </c>
      <c r="G141" s="14" t="s">
        <v>584</v>
      </c>
    </row>
    <row r="142" customFormat="false" ht="15" hidden="false" customHeight="false" outlineLevel="0" collapsed="false">
      <c r="A142" s="41" t="s">
        <v>264</v>
      </c>
      <c r="B142" s="14" t="s">
        <v>383</v>
      </c>
      <c r="C142" s="14" t="s">
        <v>402</v>
      </c>
      <c r="D142" s="15" t="n">
        <v>2</v>
      </c>
      <c r="E142" s="15" t="s">
        <v>379</v>
      </c>
      <c r="F142" s="15" t="s">
        <v>394</v>
      </c>
      <c r="G142" s="14"/>
    </row>
    <row r="143" customFormat="false" ht="15" hidden="false" customHeight="false" outlineLevel="0" collapsed="false">
      <c r="A143" s="41" t="s">
        <v>264</v>
      </c>
      <c r="B143" s="14" t="s">
        <v>383</v>
      </c>
      <c r="C143" s="14" t="s">
        <v>421</v>
      </c>
      <c r="D143" s="15" t="n">
        <v>16</v>
      </c>
      <c r="E143" s="15" t="s">
        <v>379</v>
      </c>
      <c r="F143" s="15" t="s">
        <v>394</v>
      </c>
      <c r="G143" s="14"/>
    </row>
    <row r="144" customFormat="false" ht="15" hidden="false" customHeight="false" outlineLevel="0" collapsed="false">
      <c r="A144" s="41" t="s">
        <v>264</v>
      </c>
      <c r="B144" s="14" t="s">
        <v>383</v>
      </c>
      <c r="C144" s="14" t="s">
        <v>403</v>
      </c>
      <c r="D144" s="15" t="n">
        <v>8</v>
      </c>
      <c r="E144" s="15" t="s">
        <v>379</v>
      </c>
      <c r="F144" s="15" t="s">
        <v>394</v>
      </c>
      <c r="G144" s="14"/>
    </row>
    <row r="145" customFormat="false" ht="15" hidden="false" customHeight="false" outlineLevel="0" collapsed="false">
      <c r="A145" s="41" t="s">
        <v>264</v>
      </c>
      <c r="B145" s="14" t="s">
        <v>404</v>
      </c>
      <c r="C145" s="14" t="s">
        <v>405</v>
      </c>
      <c r="D145" s="15" t="n">
        <v>2</v>
      </c>
      <c r="E145" s="15" t="s">
        <v>379</v>
      </c>
      <c r="F145" s="15" t="s">
        <v>394</v>
      </c>
      <c r="G145" s="14"/>
    </row>
    <row r="147" customFormat="false" ht="15" hidden="false" customHeight="false" outlineLevel="0" collapsed="false">
      <c r="A147" s="48" t="s">
        <v>267</v>
      </c>
      <c r="B147" s="24" t="s">
        <v>585</v>
      </c>
      <c r="C147" s="24"/>
      <c r="D147" s="24"/>
      <c r="E147" s="24"/>
      <c r="F147" s="24"/>
      <c r="G147" s="24"/>
    </row>
    <row r="148" customFormat="false" ht="30" hidden="false" customHeight="true" outlineLevel="0" collapsed="false">
      <c r="A148" s="49" t="s">
        <v>267</v>
      </c>
      <c r="B148" s="50" t="s">
        <v>586</v>
      </c>
      <c r="C148" s="50"/>
      <c r="D148" s="50"/>
      <c r="E148" s="50"/>
      <c r="F148" s="50"/>
      <c r="G148" s="50"/>
    </row>
    <row r="149" customFormat="false" ht="15" hidden="false" customHeight="false" outlineLevel="0" collapsed="false">
      <c r="A149" s="41" t="s">
        <v>267</v>
      </c>
      <c r="B149" s="14" t="s">
        <v>392</v>
      </c>
      <c r="C149" s="14" t="s">
        <v>587</v>
      </c>
      <c r="D149" s="15" t="n">
        <v>1</v>
      </c>
      <c r="E149" s="15" t="s">
        <v>379</v>
      </c>
      <c r="F149" s="15" t="s">
        <v>394</v>
      </c>
      <c r="G149" s="14"/>
    </row>
    <row r="150" customFormat="false" ht="15" hidden="false" customHeight="false" outlineLevel="0" collapsed="false">
      <c r="A150" s="41" t="s">
        <v>267</v>
      </c>
      <c r="B150" s="14" t="s">
        <v>419</v>
      </c>
      <c r="C150" s="14" t="s">
        <v>428</v>
      </c>
      <c r="D150" s="15" t="n">
        <v>1</v>
      </c>
      <c r="E150" s="15" t="s">
        <v>379</v>
      </c>
      <c r="F150" s="15" t="s">
        <v>394</v>
      </c>
      <c r="G150" s="14"/>
    </row>
    <row r="151" customFormat="false" ht="15" hidden="false" customHeight="false" outlineLevel="0" collapsed="false">
      <c r="A151" s="41" t="s">
        <v>267</v>
      </c>
      <c r="B151" s="14" t="s">
        <v>419</v>
      </c>
      <c r="C151" s="14" t="s">
        <v>424</v>
      </c>
      <c r="D151" s="15" t="n">
        <v>1</v>
      </c>
      <c r="E151" s="15" t="s">
        <v>379</v>
      </c>
      <c r="F151" s="15" t="s">
        <v>394</v>
      </c>
      <c r="G151" s="14"/>
    </row>
    <row r="152" customFormat="false" ht="15" hidden="false" customHeight="false" outlineLevel="0" collapsed="false">
      <c r="A152" s="41" t="s">
        <v>267</v>
      </c>
      <c r="B152" s="14" t="s">
        <v>396</v>
      </c>
      <c r="C152" s="14" t="s">
        <v>552</v>
      </c>
      <c r="D152" s="15" t="n">
        <v>1</v>
      </c>
      <c r="E152" s="15" t="s">
        <v>379</v>
      </c>
      <c r="F152" s="15" t="s">
        <v>394</v>
      </c>
      <c r="G152" s="14"/>
    </row>
    <row r="153" customFormat="false" ht="15" hidden="false" customHeight="false" outlineLevel="0" collapsed="false">
      <c r="A153" s="41" t="s">
        <v>267</v>
      </c>
      <c r="B153" s="14" t="s">
        <v>396</v>
      </c>
      <c r="C153" s="14" t="s">
        <v>588</v>
      </c>
      <c r="D153" s="15" t="n">
        <v>1</v>
      </c>
      <c r="E153" s="15" t="s">
        <v>379</v>
      </c>
      <c r="F153" s="15" t="s">
        <v>394</v>
      </c>
      <c r="G153" s="14"/>
    </row>
    <row r="154" customFormat="false" ht="15" hidden="false" customHeight="false" outlineLevel="0" collapsed="false">
      <c r="A154" s="41" t="s">
        <v>267</v>
      </c>
      <c r="B154" s="14" t="s">
        <v>381</v>
      </c>
      <c r="C154" s="14" t="s">
        <v>502</v>
      </c>
      <c r="D154" s="15" t="n">
        <v>1</v>
      </c>
      <c r="E154" s="15" t="s">
        <v>379</v>
      </c>
      <c r="F154" s="15" t="s">
        <v>380</v>
      </c>
      <c r="G154" s="14" t="s">
        <v>589</v>
      </c>
    </row>
    <row r="155" customFormat="false" ht="15" hidden="false" customHeight="false" outlineLevel="0" collapsed="false">
      <c r="A155" s="41" t="s">
        <v>267</v>
      </c>
      <c r="B155" s="14" t="s">
        <v>383</v>
      </c>
      <c r="C155" s="14" t="s">
        <v>402</v>
      </c>
      <c r="D155" s="15" t="n">
        <v>1</v>
      </c>
      <c r="E155" s="15" t="s">
        <v>379</v>
      </c>
      <c r="F155" s="15" t="s">
        <v>394</v>
      </c>
      <c r="G155" s="14"/>
    </row>
    <row r="156" customFormat="false" ht="15" hidden="false" customHeight="false" outlineLevel="0" collapsed="false">
      <c r="A156" s="41" t="s">
        <v>267</v>
      </c>
      <c r="B156" s="14" t="s">
        <v>383</v>
      </c>
      <c r="C156" s="14" t="s">
        <v>403</v>
      </c>
      <c r="D156" s="15" t="n">
        <v>10</v>
      </c>
      <c r="E156" s="15" t="s">
        <v>379</v>
      </c>
      <c r="F156" s="15" t="s">
        <v>394</v>
      </c>
      <c r="G156" s="14"/>
    </row>
    <row r="157" customFormat="false" ht="15" hidden="false" customHeight="false" outlineLevel="0" collapsed="false">
      <c r="A157" s="41" t="s">
        <v>267</v>
      </c>
      <c r="B157" s="14" t="s">
        <v>383</v>
      </c>
      <c r="C157" s="14" t="s">
        <v>421</v>
      </c>
      <c r="D157" s="15" t="n">
        <v>8</v>
      </c>
      <c r="E157" s="15" t="s">
        <v>379</v>
      </c>
      <c r="F157" s="15" t="s">
        <v>394</v>
      </c>
      <c r="G157" s="14"/>
    </row>
    <row r="158" customFormat="false" ht="15" hidden="false" customHeight="false" outlineLevel="0" collapsed="false">
      <c r="A158" s="41" t="s">
        <v>267</v>
      </c>
      <c r="B158" s="14" t="s">
        <v>404</v>
      </c>
      <c r="C158" s="14" t="s">
        <v>405</v>
      </c>
      <c r="D158" s="15" t="n">
        <v>1</v>
      </c>
      <c r="E158" s="15" t="s">
        <v>379</v>
      </c>
      <c r="F158" s="15" t="s">
        <v>394</v>
      </c>
      <c r="G158" s="14"/>
    </row>
    <row r="159" customFormat="false" ht="15" hidden="false" customHeight="false" outlineLevel="0" collapsed="false">
      <c r="A159" s="41" t="s">
        <v>267</v>
      </c>
      <c r="B159" s="14" t="s">
        <v>386</v>
      </c>
      <c r="C159" s="14" t="s">
        <v>429</v>
      </c>
      <c r="D159" s="15" t="n">
        <v>1</v>
      </c>
      <c r="E159" s="15" t="s">
        <v>379</v>
      </c>
      <c r="F159" s="15" t="s">
        <v>380</v>
      </c>
      <c r="G159" s="14"/>
    </row>
    <row r="160" customFormat="false" ht="15" hidden="false" customHeight="false" outlineLevel="0" collapsed="false">
      <c r="A160" s="41" t="s">
        <v>267</v>
      </c>
      <c r="B160" s="14" t="s">
        <v>386</v>
      </c>
      <c r="C160" s="14" t="s">
        <v>430</v>
      </c>
      <c r="D160" s="15" t="n">
        <v>1</v>
      </c>
      <c r="E160" s="15" t="s">
        <v>379</v>
      </c>
      <c r="F160" s="15" t="s">
        <v>394</v>
      </c>
      <c r="G160" s="14"/>
    </row>
    <row r="162" customFormat="false" ht="15" hidden="false" customHeight="false" outlineLevel="0" collapsed="false">
      <c r="A162" s="48" t="s">
        <v>272</v>
      </c>
      <c r="B162" s="24" t="s">
        <v>590</v>
      </c>
      <c r="C162" s="24"/>
      <c r="D162" s="24"/>
      <c r="E162" s="24"/>
      <c r="F162" s="24"/>
      <c r="G162" s="24"/>
    </row>
    <row r="163" customFormat="false" ht="30" hidden="false" customHeight="true" outlineLevel="0" collapsed="false">
      <c r="A163" s="49" t="s">
        <v>272</v>
      </c>
      <c r="B163" s="50" t="s">
        <v>591</v>
      </c>
      <c r="C163" s="50"/>
      <c r="D163" s="50"/>
      <c r="E163" s="50"/>
      <c r="F163" s="50"/>
      <c r="G163" s="50"/>
    </row>
    <row r="164" customFormat="false" ht="15" hidden="false" customHeight="false" outlineLevel="0" collapsed="false">
      <c r="A164" s="41" t="s">
        <v>272</v>
      </c>
      <c r="B164" s="14" t="s">
        <v>404</v>
      </c>
      <c r="C164" s="14" t="s">
        <v>405</v>
      </c>
      <c r="D164" s="15" t="n">
        <v>1</v>
      </c>
      <c r="E164" s="15" t="s">
        <v>379</v>
      </c>
      <c r="F164" s="15" t="s">
        <v>394</v>
      </c>
      <c r="G164" s="14"/>
    </row>
    <row r="165" customFormat="false" ht="15" hidden="false" customHeight="false" outlineLevel="0" collapsed="false">
      <c r="A165" s="41" t="s">
        <v>272</v>
      </c>
      <c r="B165" s="14" t="s">
        <v>404</v>
      </c>
      <c r="C165" s="14" t="s">
        <v>527</v>
      </c>
      <c r="D165" s="15" t="n">
        <v>1</v>
      </c>
      <c r="E165" s="15" t="s">
        <v>379</v>
      </c>
      <c r="F165" s="15" t="s">
        <v>394</v>
      </c>
      <c r="G165" s="14"/>
    </row>
    <row r="166" customFormat="false" ht="15" hidden="false" customHeight="false" outlineLevel="0" collapsed="false">
      <c r="A166" s="41" t="s">
        <v>272</v>
      </c>
      <c r="B166" s="14" t="s">
        <v>386</v>
      </c>
      <c r="C166" s="14" t="s">
        <v>451</v>
      </c>
      <c r="D166" s="15" t="n">
        <v>1</v>
      </c>
      <c r="E166" s="15" t="s">
        <v>379</v>
      </c>
      <c r="F166" s="15" t="s">
        <v>380</v>
      </c>
      <c r="G166" s="14" t="s">
        <v>592</v>
      </c>
    </row>
    <row r="168" customFormat="false" ht="15" hidden="false" customHeight="false" outlineLevel="0" collapsed="false">
      <c r="A168" s="48" t="s">
        <v>278</v>
      </c>
      <c r="B168" s="24" t="s">
        <v>593</v>
      </c>
      <c r="C168" s="24"/>
      <c r="D168" s="24"/>
      <c r="E168" s="24"/>
      <c r="F168" s="24"/>
      <c r="G168" s="24"/>
    </row>
    <row r="169" customFormat="false" ht="30" hidden="false" customHeight="true" outlineLevel="0" collapsed="false">
      <c r="A169" s="49" t="s">
        <v>278</v>
      </c>
      <c r="B169" s="50" t="s">
        <v>594</v>
      </c>
      <c r="C169" s="50"/>
      <c r="D169" s="50"/>
      <c r="E169" s="50"/>
      <c r="F169" s="50"/>
      <c r="G169" s="50"/>
    </row>
    <row r="170" customFormat="false" ht="15" hidden="false" customHeight="false" outlineLevel="0" collapsed="false">
      <c r="A170" s="41" t="s">
        <v>278</v>
      </c>
      <c r="B170" s="14" t="s">
        <v>404</v>
      </c>
      <c r="C170" s="14" t="s">
        <v>405</v>
      </c>
      <c r="D170" s="15" t="n">
        <v>1</v>
      </c>
      <c r="E170" s="15" t="s">
        <v>379</v>
      </c>
      <c r="F170" s="15" t="s">
        <v>394</v>
      </c>
      <c r="G170" s="14"/>
    </row>
    <row r="172" customFormat="false" ht="15" hidden="false" customHeight="false" outlineLevel="0" collapsed="false">
      <c r="A172" s="48" t="s">
        <v>282</v>
      </c>
      <c r="B172" s="24" t="s">
        <v>595</v>
      </c>
      <c r="C172" s="24"/>
      <c r="D172" s="24"/>
      <c r="E172" s="24"/>
      <c r="F172" s="24"/>
      <c r="G172" s="24"/>
    </row>
    <row r="173" customFormat="false" ht="30" hidden="false" customHeight="true" outlineLevel="0" collapsed="false">
      <c r="A173" s="49" t="s">
        <v>282</v>
      </c>
      <c r="B173" s="50" t="s">
        <v>596</v>
      </c>
      <c r="C173" s="50"/>
      <c r="D173" s="50"/>
      <c r="E173" s="50"/>
      <c r="F173" s="50"/>
      <c r="G173" s="50"/>
    </row>
    <row r="174" customFormat="false" ht="15" hidden="false" customHeight="false" outlineLevel="0" collapsed="false">
      <c r="A174" s="41" t="s">
        <v>282</v>
      </c>
      <c r="B174" s="14" t="s">
        <v>404</v>
      </c>
      <c r="C174" s="14" t="s">
        <v>405</v>
      </c>
      <c r="D174" s="15" t="n">
        <v>1</v>
      </c>
      <c r="E174" s="15" t="s">
        <v>379</v>
      </c>
      <c r="F174" s="15" t="s">
        <v>394</v>
      </c>
      <c r="G174" s="14"/>
    </row>
    <row r="176" customFormat="false" ht="15" hidden="false" customHeight="false" outlineLevel="0" collapsed="false">
      <c r="A176" s="48" t="s">
        <v>286</v>
      </c>
      <c r="B176" s="24" t="s">
        <v>597</v>
      </c>
      <c r="C176" s="24"/>
      <c r="D176" s="24"/>
      <c r="E176" s="24"/>
      <c r="F176" s="24"/>
      <c r="G176" s="24"/>
    </row>
    <row r="177" customFormat="false" ht="30" hidden="false" customHeight="true" outlineLevel="0" collapsed="false">
      <c r="A177" s="49" t="s">
        <v>286</v>
      </c>
      <c r="B177" s="50" t="s">
        <v>598</v>
      </c>
      <c r="C177" s="50"/>
      <c r="D177" s="50"/>
      <c r="E177" s="50"/>
      <c r="F177" s="50"/>
      <c r="G177" s="50"/>
    </row>
    <row r="178" customFormat="false" ht="15" hidden="false" customHeight="false" outlineLevel="0" collapsed="false">
      <c r="A178" s="41" t="s">
        <v>286</v>
      </c>
      <c r="B178" s="14" t="s">
        <v>404</v>
      </c>
      <c r="C178" s="14" t="s">
        <v>405</v>
      </c>
      <c r="D178" s="15" t="n">
        <v>1</v>
      </c>
      <c r="E178" s="15" t="s">
        <v>379</v>
      </c>
      <c r="F178" s="15" t="s">
        <v>394</v>
      </c>
      <c r="G178" s="14"/>
    </row>
    <row r="180" customFormat="false" ht="15" hidden="false" customHeight="false" outlineLevel="0" collapsed="false">
      <c r="A180" s="48" t="s">
        <v>289</v>
      </c>
      <c r="B180" s="24" t="s">
        <v>599</v>
      </c>
      <c r="C180" s="24"/>
      <c r="D180" s="24"/>
      <c r="E180" s="24"/>
      <c r="F180" s="24"/>
      <c r="G180" s="24"/>
    </row>
    <row r="181" customFormat="false" ht="30" hidden="false" customHeight="true" outlineLevel="0" collapsed="false">
      <c r="A181" s="49" t="s">
        <v>289</v>
      </c>
      <c r="B181" s="50" t="s">
        <v>600</v>
      </c>
      <c r="C181" s="50"/>
      <c r="D181" s="50"/>
      <c r="E181" s="50"/>
      <c r="F181" s="50"/>
      <c r="G181" s="50"/>
    </row>
    <row r="182" customFormat="false" ht="15" hidden="false" customHeight="false" outlineLevel="0" collapsed="false">
      <c r="A182" s="41" t="s">
        <v>289</v>
      </c>
      <c r="B182" s="14" t="s">
        <v>404</v>
      </c>
      <c r="C182" s="14" t="s">
        <v>405</v>
      </c>
      <c r="D182" s="15" t="n">
        <v>1</v>
      </c>
      <c r="E182" s="15" t="s">
        <v>379</v>
      </c>
      <c r="F182" s="15" t="s">
        <v>394</v>
      </c>
      <c r="G182" s="14"/>
    </row>
    <row r="183" customFormat="false" ht="15" hidden="false" customHeight="false" outlineLevel="0" collapsed="false">
      <c r="A183" s="41" t="s">
        <v>289</v>
      </c>
      <c r="B183" s="14" t="s">
        <v>404</v>
      </c>
      <c r="C183" s="14" t="s">
        <v>512</v>
      </c>
      <c r="D183" s="15" t="n">
        <v>1</v>
      </c>
      <c r="E183" s="42" t="s">
        <v>20</v>
      </c>
      <c r="F183" s="15" t="s">
        <v>394</v>
      </c>
      <c r="G183" s="14"/>
    </row>
    <row r="184" customFormat="false" ht="15" hidden="false" customHeight="false" outlineLevel="0" collapsed="false">
      <c r="A184" s="41" t="s">
        <v>289</v>
      </c>
      <c r="B184" s="14" t="s">
        <v>404</v>
      </c>
      <c r="C184" s="14" t="s">
        <v>513</v>
      </c>
      <c r="D184" s="15" t="n">
        <v>1</v>
      </c>
      <c r="E184" s="42" t="s">
        <v>20</v>
      </c>
      <c r="F184" s="15" t="s">
        <v>380</v>
      </c>
      <c r="G184" s="14"/>
    </row>
  </sheetData>
  <autoFilter ref="A4:G186"/>
  <mergeCells count="32">
    <mergeCell ref="B5:G5"/>
    <mergeCell ref="B6:G6"/>
    <mergeCell ref="B22:G22"/>
    <mergeCell ref="B23:G23"/>
    <mergeCell ref="B35:G35"/>
    <mergeCell ref="B36:G36"/>
    <mergeCell ref="B48:G48"/>
    <mergeCell ref="B49:G49"/>
    <mergeCell ref="B61:G61"/>
    <mergeCell ref="B62:G62"/>
    <mergeCell ref="B74:G74"/>
    <mergeCell ref="B75:G75"/>
    <mergeCell ref="B91:G91"/>
    <mergeCell ref="B92:G92"/>
    <mergeCell ref="B105:G105"/>
    <mergeCell ref="B106:G106"/>
    <mergeCell ref="B119:G119"/>
    <mergeCell ref="B120:G120"/>
    <mergeCell ref="B133:G133"/>
    <mergeCell ref="B134:G134"/>
    <mergeCell ref="B147:G147"/>
    <mergeCell ref="B148:G148"/>
    <mergeCell ref="B162:G162"/>
    <mergeCell ref="B163:G163"/>
    <mergeCell ref="B168:G168"/>
    <mergeCell ref="B169:G169"/>
    <mergeCell ref="B172:G172"/>
    <mergeCell ref="B173:G173"/>
    <mergeCell ref="B176:G176"/>
    <mergeCell ref="B177:G177"/>
    <mergeCell ref="B180:G180"/>
    <mergeCell ref="B181:G18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434A"/>
    <pageSetUpPr fitToPage="true"/>
  </sheetPr>
  <dimension ref="A1:G1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4" min="4" style="0" width="7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50"/>
  </cols>
  <sheetData>
    <row r="1" customFormat="false" ht="17.35" hidden="false" customHeight="false" outlineLevel="0" collapsed="false">
      <c r="A1" s="51" t="s">
        <v>601</v>
      </c>
    </row>
    <row r="2" customFormat="false" ht="15" hidden="false" customHeight="false" outlineLevel="0" collapsed="false">
      <c r="A2" s="2" t="s">
        <v>368</v>
      </c>
    </row>
    <row r="4" customFormat="false" ht="15" hidden="false" customHeight="false" outlineLevel="0" collapsed="false">
      <c r="A4" s="8" t="s">
        <v>33</v>
      </c>
      <c r="B4" s="8" t="s">
        <v>369</v>
      </c>
      <c r="C4" s="8" t="s">
        <v>370</v>
      </c>
      <c r="D4" s="8" t="s">
        <v>371</v>
      </c>
      <c r="E4" s="8" t="s">
        <v>372</v>
      </c>
      <c r="F4" s="8" t="s">
        <v>373</v>
      </c>
      <c r="G4" s="8" t="s">
        <v>374</v>
      </c>
    </row>
    <row r="5" customFormat="false" ht="15" hidden="false" customHeight="false" outlineLevel="0" collapsed="false">
      <c r="A5" s="52" t="s">
        <v>297</v>
      </c>
      <c r="B5" s="29" t="s">
        <v>602</v>
      </c>
      <c r="C5" s="29"/>
      <c r="D5" s="29"/>
      <c r="E5" s="29"/>
      <c r="F5" s="29"/>
      <c r="G5" s="29"/>
    </row>
    <row r="6" customFormat="false" ht="30" hidden="false" customHeight="true" outlineLevel="0" collapsed="false">
      <c r="A6" s="53" t="s">
        <v>297</v>
      </c>
      <c r="B6" s="54" t="s">
        <v>603</v>
      </c>
      <c r="C6" s="54"/>
      <c r="D6" s="54"/>
      <c r="E6" s="54"/>
      <c r="F6" s="54"/>
      <c r="G6" s="54"/>
    </row>
    <row r="7" customFormat="false" ht="15" hidden="false" customHeight="false" outlineLevel="0" collapsed="false">
      <c r="A7" s="41" t="s">
        <v>297</v>
      </c>
      <c r="B7" s="14" t="s">
        <v>392</v>
      </c>
      <c r="C7" s="14" t="s">
        <v>587</v>
      </c>
      <c r="D7" s="15" t="n">
        <v>1</v>
      </c>
      <c r="E7" s="15" t="s">
        <v>379</v>
      </c>
      <c r="F7" s="15" t="s">
        <v>394</v>
      </c>
      <c r="G7" s="14"/>
    </row>
    <row r="8" customFormat="false" ht="15" hidden="false" customHeight="false" outlineLevel="0" collapsed="false">
      <c r="A8" s="41" t="s">
        <v>297</v>
      </c>
      <c r="B8" s="14" t="s">
        <v>419</v>
      </c>
      <c r="C8" s="14" t="s">
        <v>424</v>
      </c>
      <c r="D8" s="15" t="n">
        <v>1</v>
      </c>
      <c r="E8" s="15" t="s">
        <v>379</v>
      </c>
      <c r="F8" s="15" t="s">
        <v>394</v>
      </c>
      <c r="G8" s="14"/>
    </row>
    <row r="9" customFormat="false" ht="15" hidden="false" customHeight="false" outlineLevel="0" collapsed="false">
      <c r="A9" s="41" t="s">
        <v>297</v>
      </c>
      <c r="B9" s="14" t="s">
        <v>398</v>
      </c>
      <c r="C9" s="14" t="s">
        <v>401</v>
      </c>
      <c r="D9" s="15" t="n">
        <v>2</v>
      </c>
      <c r="E9" s="15" t="s">
        <v>379</v>
      </c>
      <c r="F9" s="15" t="s">
        <v>380</v>
      </c>
      <c r="G9" s="14" t="s">
        <v>575</v>
      </c>
    </row>
    <row r="10" customFormat="false" ht="15" hidden="false" customHeight="false" outlineLevel="0" collapsed="false">
      <c r="A10" s="41" t="s">
        <v>297</v>
      </c>
      <c r="B10" s="14" t="s">
        <v>381</v>
      </c>
      <c r="C10" s="14" t="s">
        <v>506</v>
      </c>
      <c r="D10" s="15" t="n">
        <v>1</v>
      </c>
      <c r="E10" s="15" t="s">
        <v>379</v>
      </c>
      <c r="F10" s="15" t="s">
        <v>394</v>
      </c>
      <c r="G10" s="14"/>
    </row>
    <row r="11" customFormat="false" ht="15" hidden="false" customHeight="false" outlineLevel="0" collapsed="false">
      <c r="A11" s="41" t="s">
        <v>297</v>
      </c>
      <c r="B11" s="14" t="s">
        <v>381</v>
      </c>
      <c r="C11" s="14" t="s">
        <v>578</v>
      </c>
      <c r="D11" s="15" t="n">
        <v>1</v>
      </c>
      <c r="E11" s="15" t="s">
        <v>379</v>
      </c>
      <c r="F11" s="15" t="s">
        <v>394</v>
      </c>
      <c r="G11" s="14"/>
    </row>
    <row r="12" customFormat="false" ht="15" hidden="false" customHeight="false" outlineLevel="0" collapsed="false">
      <c r="A12" s="41" t="s">
        <v>297</v>
      </c>
      <c r="B12" s="14" t="s">
        <v>381</v>
      </c>
      <c r="C12" s="14" t="s">
        <v>576</v>
      </c>
      <c r="D12" s="15" t="n">
        <v>1</v>
      </c>
      <c r="E12" s="15" t="s">
        <v>379</v>
      </c>
      <c r="F12" s="15" t="s">
        <v>394</v>
      </c>
      <c r="G12" s="14"/>
    </row>
    <row r="13" customFormat="false" ht="15" hidden="false" customHeight="false" outlineLevel="0" collapsed="false">
      <c r="A13" s="41" t="s">
        <v>297</v>
      </c>
      <c r="B13" s="14" t="s">
        <v>383</v>
      </c>
      <c r="C13" s="14" t="s">
        <v>402</v>
      </c>
      <c r="D13" s="15" t="n">
        <v>1</v>
      </c>
      <c r="E13" s="15" t="s">
        <v>379</v>
      </c>
      <c r="F13" s="15" t="s">
        <v>394</v>
      </c>
      <c r="G13" s="14"/>
    </row>
    <row r="14" customFormat="false" ht="15" hidden="false" customHeight="false" outlineLevel="0" collapsed="false">
      <c r="A14" s="41" t="s">
        <v>297</v>
      </c>
      <c r="B14" s="14" t="s">
        <v>383</v>
      </c>
      <c r="C14" s="14" t="s">
        <v>403</v>
      </c>
      <c r="D14" s="15" t="n">
        <v>10</v>
      </c>
      <c r="E14" s="15" t="s">
        <v>379</v>
      </c>
      <c r="F14" s="15" t="s">
        <v>394</v>
      </c>
      <c r="G14" s="14"/>
    </row>
    <row r="15" customFormat="false" ht="15" hidden="false" customHeight="false" outlineLevel="0" collapsed="false">
      <c r="A15" s="41" t="s">
        <v>297</v>
      </c>
      <c r="B15" s="14" t="s">
        <v>383</v>
      </c>
      <c r="C15" s="14" t="s">
        <v>421</v>
      </c>
      <c r="D15" s="15" t="n">
        <v>4</v>
      </c>
      <c r="E15" s="15" t="s">
        <v>379</v>
      </c>
      <c r="F15" s="15" t="s">
        <v>394</v>
      </c>
      <c r="G15" s="14"/>
    </row>
    <row r="16" customFormat="false" ht="15" hidden="false" customHeight="false" outlineLevel="0" collapsed="false">
      <c r="A16" s="41" t="s">
        <v>297</v>
      </c>
      <c r="B16" s="14" t="s">
        <v>404</v>
      </c>
      <c r="C16" s="14" t="s">
        <v>475</v>
      </c>
      <c r="D16" s="15" t="n">
        <v>1</v>
      </c>
      <c r="E16" s="15" t="s">
        <v>379</v>
      </c>
      <c r="F16" s="15" t="s">
        <v>394</v>
      </c>
      <c r="G16" s="14"/>
    </row>
    <row r="17" customFormat="false" ht="15" hidden="false" customHeight="false" outlineLevel="0" collapsed="false">
      <c r="A17" s="41" t="s">
        <v>297</v>
      </c>
      <c r="B17" s="14" t="s">
        <v>404</v>
      </c>
      <c r="C17" s="14" t="s">
        <v>405</v>
      </c>
      <c r="D17" s="15" t="n">
        <v>1</v>
      </c>
      <c r="E17" s="15" t="s">
        <v>379</v>
      </c>
      <c r="F17" s="15" t="s">
        <v>394</v>
      </c>
      <c r="G17" s="14"/>
    </row>
    <row r="19" customFormat="false" ht="15" hidden="false" customHeight="false" outlineLevel="0" collapsed="false">
      <c r="A19" s="52" t="s">
        <v>300</v>
      </c>
      <c r="B19" s="29" t="s">
        <v>604</v>
      </c>
      <c r="C19" s="29"/>
      <c r="D19" s="29"/>
      <c r="E19" s="29"/>
      <c r="F19" s="29"/>
      <c r="G19" s="29"/>
    </row>
    <row r="20" customFormat="false" ht="30" hidden="false" customHeight="true" outlineLevel="0" collapsed="false">
      <c r="A20" s="53" t="s">
        <v>300</v>
      </c>
      <c r="B20" s="54" t="s">
        <v>605</v>
      </c>
      <c r="C20" s="54"/>
      <c r="D20" s="54"/>
      <c r="E20" s="54"/>
      <c r="F20" s="54"/>
      <c r="G20" s="54"/>
    </row>
    <row r="21" customFormat="false" ht="15" hidden="false" customHeight="false" outlineLevel="0" collapsed="false">
      <c r="A21" s="41" t="s">
        <v>300</v>
      </c>
      <c r="B21" s="14" t="s">
        <v>392</v>
      </c>
      <c r="C21" s="14" t="s">
        <v>393</v>
      </c>
      <c r="D21" s="15" t="n">
        <v>1</v>
      </c>
      <c r="E21" s="15" t="s">
        <v>379</v>
      </c>
      <c r="F21" s="15" t="s">
        <v>394</v>
      </c>
      <c r="G21" s="14"/>
    </row>
    <row r="22" customFormat="false" ht="15" hidden="false" customHeight="false" outlineLevel="0" collapsed="false">
      <c r="A22" s="41" t="s">
        <v>300</v>
      </c>
      <c r="B22" s="14" t="s">
        <v>447</v>
      </c>
      <c r="C22" s="14" t="s">
        <v>517</v>
      </c>
      <c r="D22" s="15" t="n">
        <v>1</v>
      </c>
      <c r="E22" s="15" t="s">
        <v>379</v>
      </c>
      <c r="F22" s="15" t="s">
        <v>394</v>
      </c>
      <c r="G22" s="14"/>
    </row>
    <row r="23" customFormat="false" ht="15" hidden="false" customHeight="false" outlineLevel="0" collapsed="false">
      <c r="A23" s="41" t="s">
        <v>300</v>
      </c>
      <c r="B23" s="14" t="s">
        <v>419</v>
      </c>
      <c r="C23" s="14" t="s">
        <v>441</v>
      </c>
      <c r="D23" s="15" t="n">
        <v>3</v>
      </c>
      <c r="E23" s="15" t="s">
        <v>379</v>
      </c>
      <c r="F23" s="15" t="s">
        <v>394</v>
      </c>
      <c r="G23" s="14"/>
    </row>
    <row r="24" customFormat="false" ht="15" hidden="false" customHeight="false" outlineLevel="0" collapsed="false">
      <c r="A24" s="41" t="s">
        <v>300</v>
      </c>
      <c r="B24" s="14" t="s">
        <v>396</v>
      </c>
      <c r="C24" s="14" t="s">
        <v>500</v>
      </c>
      <c r="D24" s="15" t="n">
        <v>1</v>
      </c>
      <c r="E24" s="15" t="s">
        <v>379</v>
      </c>
      <c r="F24" s="15" t="s">
        <v>394</v>
      </c>
      <c r="G24" s="14"/>
    </row>
    <row r="25" customFormat="false" ht="15" hidden="false" customHeight="false" outlineLevel="0" collapsed="false">
      <c r="A25" s="41" t="s">
        <v>300</v>
      </c>
      <c r="B25" s="14" t="s">
        <v>381</v>
      </c>
      <c r="C25" s="14" t="s">
        <v>502</v>
      </c>
      <c r="D25" s="15" t="n">
        <v>1</v>
      </c>
      <c r="E25" s="15" t="s">
        <v>379</v>
      </c>
      <c r="F25" s="15" t="s">
        <v>380</v>
      </c>
      <c r="G25" s="14"/>
    </row>
    <row r="26" customFormat="false" ht="15" hidden="false" customHeight="false" outlineLevel="0" collapsed="false">
      <c r="A26" s="41" t="s">
        <v>300</v>
      </c>
      <c r="B26" s="14" t="s">
        <v>383</v>
      </c>
      <c r="C26" s="14" t="s">
        <v>421</v>
      </c>
      <c r="D26" s="15" t="n">
        <v>14</v>
      </c>
      <c r="E26" s="15" t="s">
        <v>379</v>
      </c>
      <c r="F26" s="15" t="s">
        <v>394</v>
      </c>
      <c r="G26" s="14"/>
    </row>
    <row r="27" customFormat="false" ht="15" hidden="false" customHeight="false" outlineLevel="0" collapsed="false">
      <c r="A27" s="41" t="s">
        <v>300</v>
      </c>
      <c r="B27" s="14" t="s">
        <v>383</v>
      </c>
      <c r="C27" s="14" t="s">
        <v>403</v>
      </c>
      <c r="D27" s="15" t="n">
        <v>10</v>
      </c>
      <c r="E27" s="15" t="s">
        <v>379</v>
      </c>
      <c r="F27" s="15" t="s">
        <v>394</v>
      </c>
      <c r="G27" s="14"/>
    </row>
    <row r="28" customFormat="false" ht="15" hidden="false" customHeight="false" outlineLevel="0" collapsed="false">
      <c r="A28" s="41" t="s">
        <v>300</v>
      </c>
      <c r="B28" s="14" t="s">
        <v>404</v>
      </c>
      <c r="C28" s="14" t="s">
        <v>519</v>
      </c>
      <c r="D28" s="15" t="n">
        <v>1</v>
      </c>
      <c r="E28" s="15" t="s">
        <v>379</v>
      </c>
      <c r="F28" s="15" t="s">
        <v>394</v>
      </c>
      <c r="G28" s="14"/>
    </row>
    <row r="29" customFormat="false" ht="15" hidden="false" customHeight="false" outlineLevel="0" collapsed="false">
      <c r="A29" s="41" t="s">
        <v>300</v>
      </c>
      <c r="B29" s="14" t="s">
        <v>404</v>
      </c>
      <c r="C29" s="14" t="s">
        <v>405</v>
      </c>
      <c r="D29" s="15" t="n">
        <v>1</v>
      </c>
      <c r="E29" s="15" t="s">
        <v>379</v>
      </c>
      <c r="F29" s="15" t="s">
        <v>394</v>
      </c>
      <c r="G29" s="14"/>
    </row>
    <row r="30" customFormat="false" ht="15" hidden="false" customHeight="false" outlineLevel="0" collapsed="false">
      <c r="A30" s="41" t="s">
        <v>300</v>
      </c>
      <c r="B30" s="14" t="s">
        <v>386</v>
      </c>
      <c r="C30" s="14" t="s">
        <v>437</v>
      </c>
      <c r="D30" s="15" t="n">
        <v>4</v>
      </c>
      <c r="E30" s="42" t="s">
        <v>20</v>
      </c>
      <c r="F30" s="15" t="s">
        <v>380</v>
      </c>
      <c r="G30" s="14" t="s">
        <v>606</v>
      </c>
    </row>
    <row r="32" customFormat="false" ht="15" hidden="false" customHeight="false" outlineLevel="0" collapsed="false">
      <c r="A32" s="52" t="s">
        <v>303</v>
      </c>
      <c r="B32" s="29" t="s">
        <v>607</v>
      </c>
      <c r="C32" s="29"/>
      <c r="D32" s="29"/>
      <c r="E32" s="29"/>
      <c r="F32" s="29"/>
      <c r="G32" s="29"/>
    </row>
    <row r="33" customFormat="false" ht="30" hidden="false" customHeight="true" outlineLevel="0" collapsed="false">
      <c r="A33" s="53" t="s">
        <v>303</v>
      </c>
      <c r="B33" s="54" t="s">
        <v>608</v>
      </c>
      <c r="C33" s="54"/>
      <c r="D33" s="54"/>
      <c r="E33" s="54"/>
      <c r="F33" s="54"/>
      <c r="G33" s="54"/>
    </row>
    <row r="34" customFormat="false" ht="15" hidden="false" customHeight="false" outlineLevel="0" collapsed="false">
      <c r="A34" s="41" t="s">
        <v>303</v>
      </c>
      <c r="B34" s="14" t="s">
        <v>392</v>
      </c>
      <c r="C34" s="14" t="s">
        <v>393</v>
      </c>
      <c r="D34" s="15" t="n">
        <v>1</v>
      </c>
      <c r="E34" s="15" t="s">
        <v>379</v>
      </c>
      <c r="F34" s="15" t="s">
        <v>394</v>
      </c>
      <c r="G34" s="14"/>
    </row>
    <row r="35" customFormat="false" ht="15" hidden="false" customHeight="false" outlineLevel="0" collapsed="false">
      <c r="A35" s="41" t="s">
        <v>303</v>
      </c>
      <c r="B35" s="14" t="s">
        <v>396</v>
      </c>
      <c r="C35" s="14" t="s">
        <v>609</v>
      </c>
      <c r="D35" s="15" t="n">
        <v>2</v>
      </c>
      <c r="E35" s="15" t="s">
        <v>379</v>
      </c>
      <c r="F35" s="15" t="s">
        <v>394</v>
      </c>
      <c r="G35" s="14" t="s">
        <v>610</v>
      </c>
    </row>
    <row r="36" customFormat="false" ht="15" hidden="false" customHeight="false" outlineLevel="0" collapsed="false">
      <c r="A36" s="41" t="s">
        <v>303</v>
      </c>
      <c r="B36" s="14" t="s">
        <v>396</v>
      </c>
      <c r="C36" s="14" t="s">
        <v>436</v>
      </c>
      <c r="D36" s="15" t="n">
        <v>2</v>
      </c>
      <c r="E36" s="15" t="s">
        <v>379</v>
      </c>
      <c r="F36" s="15" t="s">
        <v>394</v>
      </c>
      <c r="G36" s="14" t="s">
        <v>611</v>
      </c>
    </row>
    <row r="37" customFormat="false" ht="15" hidden="false" customHeight="false" outlineLevel="0" collapsed="false">
      <c r="A37" s="41" t="s">
        <v>303</v>
      </c>
      <c r="B37" s="14" t="s">
        <v>398</v>
      </c>
      <c r="C37" s="14" t="s">
        <v>501</v>
      </c>
      <c r="D37" s="15" t="n">
        <v>4</v>
      </c>
      <c r="E37" s="15" t="s">
        <v>379</v>
      </c>
      <c r="F37" s="15" t="s">
        <v>394</v>
      </c>
      <c r="G37" s="14"/>
    </row>
    <row r="38" customFormat="false" ht="15" hidden="false" customHeight="false" outlineLevel="0" collapsed="false">
      <c r="A38" s="41" t="s">
        <v>303</v>
      </c>
      <c r="B38" s="14" t="s">
        <v>398</v>
      </c>
      <c r="C38" s="14" t="s">
        <v>399</v>
      </c>
      <c r="D38" s="15" t="n">
        <v>2</v>
      </c>
      <c r="E38" s="15" t="s">
        <v>379</v>
      </c>
      <c r="F38" s="15" t="s">
        <v>394</v>
      </c>
      <c r="G38" s="14"/>
    </row>
    <row r="39" customFormat="false" ht="15" hidden="false" customHeight="false" outlineLevel="0" collapsed="false">
      <c r="A39" s="41" t="s">
        <v>303</v>
      </c>
      <c r="B39" s="14" t="s">
        <v>398</v>
      </c>
      <c r="C39" s="14" t="s">
        <v>401</v>
      </c>
      <c r="D39" s="15" t="n">
        <v>2</v>
      </c>
      <c r="E39" s="15" t="s">
        <v>379</v>
      </c>
      <c r="F39" s="15" t="s">
        <v>380</v>
      </c>
      <c r="G39" s="14"/>
    </row>
    <row r="40" customFormat="false" ht="15" hidden="false" customHeight="false" outlineLevel="0" collapsed="false">
      <c r="A40" s="41" t="s">
        <v>303</v>
      </c>
      <c r="B40" s="14" t="s">
        <v>381</v>
      </c>
      <c r="C40" s="14" t="s">
        <v>579</v>
      </c>
      <c r="D40" s="15" t="n">
        <v>1</v>
      </c>
      <c r="E40" s="15" t="s">
        <v>379</v>
      </c>
      <c r="F40" s="15" t="s">
        <v>394</v>
      </c>
      <c r="G40" s="14" t="s">
        <v>612</v>
      </c>
    </row>
    <row r="41" customFormat="false" ht="15" hidden="false" customHeight="false" outlineLevel="0" collapsed="false">
      <c r="A41" s="41" t="s">
        <v>303</v>
      </c>
      <c r="B41" s="14" t="s">
        <v>381</v>
      </c>
      <c r="C41" s="14" t="s">
        <v>502</v>
      </c>
      <c r="D41" s="15" t="n">
        <v>1</v>
      </c>
      <c r="E41" s="15" t="s">
        <v>379</v>
      </c>
      <c r="F41" s="15" t="s">
        <v>380</v>
      </c>
      <c r="G41" s="14"/>
    </row>
    <row r="42" customFormat="false" ht="15" hidden="false" customHeight="false" outlineLevel="0" collapsed="false">
      <c r="A42" s="41" t="s">
        <v>303</v>
      </c>
      <c r="B42" s="14" t="s">
        <v>383</v>
      </c>
      <c r="C42" s="14" t="s">
        <v>402</v>
      </c>
      <c r="D42" s="15" t="n">
        <v>1</v>
      </c>
      <c r="E42" s="15" t="s">
        <v>379</v>
      </c>
      <c r="F42" s="15" t="s">
        <v>394</v>
      </c>
      <c r="G42" s="14"/>
    </row>
    <row r="43" customFormat="false" ht="15" hidden="false" customHeight="false" outlineLevel="0" collapsed="false">
      <c r="A43" s="41" t="s">
        <v>303</v>
      </c>
      <c r="B43" s="14" t="s">
        <v>383</v>
      </c>
      <c r="C43" s="14" t="s">
        <v>403</v>
      </c>
      <c r="D43" s="15" t="n">
        <v>16</v>
      </c>
      <c r="E43" s="15" t="s">
        <v>379</v>
      </c>
      <c r="F43" s="15" t="s">
        <v>394</v>
      </c>
      <c r="G43" s="14"/>
    </row>
    <row r="44" customFormat="false" ht="15" hidden="false" customHeight="false" outlineLevel="0" collapsed="false">
      <c r="A44" s="41" t="s">
        <v>303</v>
      </c>
      <c r="B44" s="14" t="s">
        <v>383</v>
      </c>
      <c r="C44" s="14" t="s">
        <v>421</v>
      </c>
      <c r="D44" s="15" t="n">
        <v>6</v>
      </c>
      <c r="E44" s="15" t="s">
        <v>379</v>
      </c>
      <c r="F44" s="15" t="s">
        <v>394</v>
      </c>
      <c r="G44" s="14"/>
    </row>
    <row r="45" customFormat="false" ht="15" hidden="false" customHeight="false" outlineLevel="0" collapsed="false">
      <c r="A45" s="41" t="s">
        <v>303</v>
      </c>
      <c r="B45" s="14" t="s">
        <v>404</v>
      </c>
      <c r="C45" s="14" t="s">
        <v>405</v>
      </c>
      <c r="D45" s="15" t="n">
        <v>1</v>
      </c>
      <c r="E45" s="15" t="s">
        <v>379</v>
      </c>
      <c r="F45" s="15" t="s">
        <v>394</v>
      </c>
      <c r="G45" s="14"/>
    </row>
    <row r="46" customFormat="false" ht="15" hidden="false" customHeight="false" outlineLevel="0" collapsed="false">
      <c r="A46" s="41" t="s">
        <v>303</v>
      </c>
      <c r="B46" s="14" t="s">
        <v>386</v>
      </c>
      <c r="C46" s="14" t="s">
        <v>437</v>
      </c>
      <c r="D46" s="15" t="n">
        <v>2</v>
      </c>
      <c r="E46" s="15" t="s">
        <v>379</v>
      </c>
      <c r="F46" s="15" t="s">
        <v>380</v>
      </c>
      <c r="G46" s="14" t="s">
        <v>568</v>
      </c>
    </row>
    <row r="48" customFormat="false" ht="15" hidden="false" customHeight="false" outlineLevel="0" collapsed="false">
      <c r="A48" s="52" t="s">
        <v>306</v>
      </c>
      <c r="B48" s="29" t="s">
        <v>613</v>
      </c>
      <c r="C48" s="29"/>
      <c r="D48" s="29"/>
      <c r="E48" s="29"/>
      <c r="F48" s="29"/>
      <c r="G48" s="29"/>
    </row>
    <row r="49" customFormat="false" ht="30" hidden="false" customHeight="true" outlineLevel="0" collapsed="false">
      <c r="A49" s="53" t="s">
        <v>306</v>
      </c>
      <c r="B49" s="54" t="s">
        <v>614</v>
      </c>
      <c r="C49" s="54"/>
      <c r="D49" s="54"/>
      <c r="E49" s="54"/>
      <c r="F49" s="54"/>
      <c r="G49" s="54"/>
    </row>
    <row r="50" customFormat="false" ht="15" hidden="false" customHeight="false" outlineLevel="0" collapsed="false">
      <c r="A50" s="41" t="s">
        <v>306</v>
      </c>
      <c r="B50" s="14" t="s">
        <v>392</v>
      </c>
      <c r="C50" s="14" t="s">
        <v>587</v>
      </c>
      <c r="D50" s="15" t="n">
        <v>1</v>
      </c>
      <c r="E50" s="15" t="s">
        <v>379</v>
      </c>
      <c r="F50" s="15" t="s">
        <v>394</v>
      </c>
      <c r="G50" s="14"/>
    </row>
    <row r="51" customFormat="false" ht="15" hidden="false" customHeight="false" outlineLevel="0" collapsed="false">
      <c r="A51" s="41" t="s">
        <v>306</v>
      </c>
      <c r="B51" s="14" t="s">
        <v>419</v>
      </c>
      <c r="C51" s="14" t="s">
        <v>530</v>
      </c>
      <c r="D51" s="15" t="n">
        <v>1</v>
      </c>
      <c r="E51" s="15" t="s">
        <v>379</v>
      </c>
      <c r="F51" s="15" t="s">
        <v>394</v>
      </c>
      <c r="G51" s="14"/>
    </row>
    <row r="52" customFormat="false" ht="15" hidden="false" customHeight="false" outlineLevel="0" collapsed="false">
      <c r="A52" s="41" t="s">
        <v>306</v>
      </c>
      <c r="B52" s="14" t="s">
        <v>396</v>
      </c>
      <c r="C52" s="14" t="s">
        <v>397</v>
      </c>
      <c r="D52" s="15" t="n">
        <v>1</v>
      </c>
      <c r="E52" s="15" t="s">
        <v>379</v>
      </c>
      <c r="F52" s="15" t="s">
        <v>394</v>
      </c>
      <c r="G52" s="14"/>
    </row>
    <row r="53" customFormat="false" ht="15" hidden="false" customHeight="false" outlineLevel="0" collapsed="false">
      <c r="A53" s="41" t="s">
        <v>306</v>
      </c>
      <c r="B53" s="14" t="s">
        <v>398</v>
      </c>
      <c r="C53" s="14" t="s">
        <v>399</v>
      </c>
      <c r="D53" s="15" t="n">
        <v>1</v>
      </c>
      <c r="E53" s="15" t="s">
        <v>379</v>
      </c>
      <c r="F53" s="15" t="s">
        <v>394</v>
      </c>
      <c r="G53" s="14"/>
    </row>
    <row r="54" customFormat="false" ht="15" hidden="false" customHeight="false" outlineLevel="0" collapsed="false">
      <c r="A54" s="41" t="s">
        <v>306</v>
      </c>
      <c r="B54" s="14" t="s">
        <v>398</v>
      </c>
      <c r="C54" s="14" t="s">
        <v>401</v>
      </c>
      <c r="D54" s="15" t="n">
        <v>1</v>
      </c>
      <c r="E54" s="15" t="s">
        <v>379</v>
      </c>
      <c r="F54" s="15" t="s">
        <v>380</v>
      </c>
      <c r="G54" s="14"/>
    </row>
    <row r="55" customFormat="false" ht="15" hidden="false" customHeight="false" outlineLevel="0" collapsed="false">
      <c r="A55" s="41" t="s">
        <v>306</v>
      </c>
      <c r="B55" s="14" t="s">
        <v>381</v>
      </c>
      <c r="C55" s="14" t="s">
        <v>576</v>
      </c>
      <c r="D55" s="15" t="n">
        <v>1</v>
      </c>
      <c r="E55" s="15" t="s">
        <v>379</v>
      </c>
      <c r="F55" s="15" t="s">
        <v>394</v>
      </c>
      <c r="G55" s="14" t="s">
        <v>615</v>
      </c>
    </row>
    <row r="56" customFormat="false" ht="15" hidden="false" customHeight="false" outlineLevel="0" collapsed="false">
      <c r="A56" s="41" t="s">
        <v>306</v>
      </c>
      <c r="B56" s="14" t="s">
        <v>383</v>
      </c>
      <c r="C56" s="14" t="s">
        <v>402</v>
      </c>
      <c r="D56" s="15" t="n">
        <v>1</v>
      </c>
      <c r="E56" s="15" t="s">
        <v>379</v>
      </c>
      <c r="F56" s="15" t="s">
        <v>394</v>
      </c>
      <c r="G56" s="14"/>
    </row>
    <row r="57" customFormat="false" ht="15" hidden="false" customHeight="false" outlineLevel="0" collapsed="false">
      <c r="A57" s="41" t="s">
        <v>306</v>
      </c>
      <c r="B57" s="14" t="s">
        <v>383</v>
      </c>
      <c r="C57" s="14" t="s">
        <v>403</v>
      </c>
      <c r="D57" s="15" t="n">
        <v>8</v>
      </c>
      <c r="E57" s="15" t="s">
        <v>379</v>
      </c>
      <c r="F57" s="15" t="s">
        <v>394</v>
      </c>
      <c r="G57" s="14"/>
    </row>
    <row r="58" customFormat="false" ht="15" hidden="false" customHeight="false" outlineLevel="0" collapsed="false">
      <c r="A58" s="41" t="s">
        <v>306</v>
      </c>
      <c r="B58" s="14" t="s">
        <v>383</v>
      </c>
      <c r="C58" s="14" t="s">
        <v>421</v>
      </c>
      <c r="D58" s="15" t="n">
        <v>6</v>
      </c>
      <c r="E58" s="15" t="s">
        <v>379</v>
      </c>
      <c r="F58" s="15" t="s">
        <v>394</v>
      </c>
      <c r="G58" s="14"/>
    </row>
    <row r="59" customFormat="false" ht="15" hidden="false" customHeight="false" outlineLevel="0" collapsed="false">
      <c r="A59" s="41" t="s">
        <v>306</v>
      </c>
      <c r="B59" s="14" t="s">
        <v>404</v>
      </c>
      <c r="C59" s="14" t="s">
        <v>405</v>
      </c>
      <c r="D59" s="15" t="n">
        <v>1</v>
      </c>
      <c r="E59" s="15" t="s">
        <v>379</v>
      </c>
      <c r="F59" s="15" t="s">
        <v>394</v>
      </c>
      <c r="G59" s="14"/>
    </row>
    <row r="61" customFormat="false" ht="15" hidden="false" customHeight="false" outlineLevel="0" collapsed="false">
      <c r="A61" s="52" t="s">
        <v>311</v>
      </c>
      <c r="B61" s="29" t="s">
        <v>616</v>
      </c>
      <c r="C61" s="29"/>
      <c r="D61" s="29"/>
      <c r="E61" s="29"/>
      <c r="F61" s="29"/>
      <c r="G61" s="29"/>
    </row>
    <row r="62" customFormat="false" ht="30" hidden="false" customHeight="true" outlineLevel="0" collapsed="false">
      <c r="A62" s="53" t="s">
        <v>311</v>
      </c>
      <c r="B62" s="54" t="s">
        <v>617</v>
      </c>
      <c r="C62" s="54"/>
      <c r="D62" s="54"/>
      <c r="E62" s="54"/>
      <c r="F62" s="54"/>
      <c r="G62" s="54"/>
    </row>
    <row r="63" customFormat="false" ht="15" hidden="false" customHeight="false" outlineLevel="0" collapsed="false">
      <c r="A63" s="41" t="s">
        <v>311</v>
      </c>
      <c r="B63" s="14" t="s">
        <v>392</v>
      </c>
      <c r="C63" s="14" t="s">
        <v>587</v>
      </c>
      <c r="D63" s="15" t="n">
        <v>4</v>
      </c>
      <c r="E63" s="15" t="s">
        <v>379</v>
      </c>
      <c r="F63" s="15" t="s">
        <v>394</v>
      </c>
      <c r="G63" s="14" t="s">
        <v>618</v>
      </c>
    </row>
    <row r="64" customFormat="false" ht="15" hidden="false" customHeight="false" outlineLevel="0" collapsed="false">
      <c r="A64" s="41" t="s">
        <v>311</v>
      </c>
      <c r="B64" s="14" t="s">
        <v>419</v>
      </c>
      <c r="C64" s="14" t="s">
        <v>424</v>
      </c>
      <c r="D64" s="15" t="n">
        <v>1</v>
      </c>
      <c r="E64" s="15" t="s">
        <v>379</v>
      </c>
      <c r="F64" s="15" t="s">
        <v>394</v>
      </c>
      <c r="G64" s="14"/>
    </row>
    <row r="65" customFormat="false" ht="15" hidden="false" customHeight="false" outlineLevel="0" collapsed="false">
      <c r="A65" s="41" t="s">
        <v>311</v>
      </c>
      <c r="B65" s="14" t="s">
        <v>419</v>
      </c>
      <c r="C65" s="14" t="s">
        <v>420</v>
      </c>
      <c r="D65" s="15" t="n">
        <v>1</v>
      </c>
      <c r="E65" s="15" t="s">
        <v>379</v>
      </c>
      <c r="F65" s="15" t="s">
        <v>394</v>
      </c>
      <c r="G65" s="14"/>
    </row>
    <row r="66" customFormat="false" ht="15" hidden="false" customHeight="false" outlineLevel="0" collapsed="false">
      <c r="A66" s="41" t="s">
        <v>311</v>
      </c>
      <c r="B66" s="14" t="s">
        <v>419</v>
      </c>
      <c r="C66" s="14" t="s">
        <v>619</v>
      </c>
      <c r="D66" s="15" t="n">
        <v>1</v>
      </c>
      <c r="E66" s="15" t="s">
        <v>379</v>
      </c>
      <c r="F66" s="15" t="s">
        <v>394</v>
      </c>
      <c r="G66" s="14"/>
    </row>
    <row r="67" customFormat="false" ht="15" hidden="false" customHeight="false" outlineLevel="0" collapsed="false">
      <c r="A67" s="41" t="s">
        <v>311</v>
      </c>
      <c r="B67" s="14" t="s">
        <v>377</v>
      </c>
      <c r="C67" s="14" t="s">
        <v>478</v>
      </c>
      <c r="D67" s="15" t="n">
        <v>1</v>
      </c>
      <c r="E67" s="15" t="s">
        <v>379</v>
      </c>
      <c r="F67" s="15" t="s">
        <v>394</v>
      </c>
      <c r="G67" s="14"/>
    </row>
    <row r="68" customFormat="false" ht="15" hidden="false" customHeight="false" outlineLevel="0" collapsed="false">
      <c r="A68" s="41" t="s">
        <v>311</v>
      </c>
      <c r="B68" s="14" t="s">
        <v>383</v>
      </c>
      <c r="C68" s="14" t="s">
        <v>402</v>
      </c>
      <c r="D68" s="15" t="n">
        <v>4</v>
      </c>
      <c r="E68" s="15" t="s">
        <v>379</v>
      </c>
      <c r="F68" s="15" t="s">
        <v>394</v>
      </c>
      <c r="G68" s="14"/>
    </row>
    <row r="69" customFormat="false" ht="15" hidden="false" customHeight="false" outlineLevel="0" collapsed="false">
      <c r="A69" s="41" t="s">
        <v>311</v>
      </c>
      <c r="B69" s="14" t="s">
        <v>383</v>
      </c>
      <c r="C69" s="14" t="s">
        <v>403</v>
      </c>
      <c r="D69" s="15" t="n">
        <v>16</v>
      </c>
      <c r="E69" s="15" t="s">
        <v>379</v>
      </c>
      <c r="F69" s="15" t="s">
        <v>394</v>
      </c>
      <c r="G69" s="14"/>
    </row>
    <row r="70" customFormat="false" ht="15" hidden="false" customHeight="false" outlineLevel="0" collapsed="false">
      <c r="A70" s="41" t="s">
        <v>311</v>
      </c>
      <c r="B70" s="14" t="s">
        <v>383</v>
      </c>
      <c r="C70" s="14" t="s">
        <v>421</v>
      </c>
      <c r="D70" s="15" t="n">
        <v>8</v>
      </c>
      <c r="E70" s="15" t="s">
        <v>379</v>
      </c>
      <c r="F70" s="15" t="s">
        <v>394</v>
      </c>
      <c r="G70" s="14"/>
    </row>
    <row r="71" customFormat="false" ht="15" hidden="false" customHeight="false" outlineLevel="0" collapsed="false">
      <c r="A71" s="41" t="s">
        <v>311</v>
      </c>
      <c r="B71" s="14" t="s">
        <v>404</v>
      </c>
      <c r="C71" s="14" t="s">
        <v>405</v>
      </c>
      <c r="D71" s="15" t="n">
        <v>1</v>
      </c>
      <c r="E71" s="15" t="s">
        <v>379</v>
      </c>
      <c r="F71" s="15" t="s">
        <v>394</v>
      </c>
      <c r="G71" s="14"/>
    </row>
    <row r="73" customFormat="false" ht="15" hidden="false" customHeight="false" outlineLevel="0" collapsed="false">
      <c r="A73" s="52" t="s">
        <v>314</v>
      </c>
      <c r="B73" s="29" t="s">
        <v>620</v>
      </c>
      <c r="C73" s="29"/>
      <c r="D73" s="29"/>
      <c r="E73" s="29"/>
      <c r="F73" s="29"/>
      <c r="G73" s="29"/>
    </row>
    <row r="74" customFormat="false" ht="30" hidden="false" customHeight="true" outlineLevel="0" collapsed="false">
      <c r="A74" s="53" t="s">
        <v>314</v>
      </c>
      <c r="B74" s="54" t="s">
        <v>621</v>
      </c>
      <c r="C74" s="54"/>
      <c r="D74" s="54"/>
      <c r="E74" s="54"/>
      <c r="F74" s="54"/>
      <c r="G74" s="54"/>
    </row>
    <row r="75" customFormat="false" ht="15" hidden="false" customHeight="false" outlineLevel="0" collapsed="false">
      <c r="A75" s="41" t="s">
        <v>314</v>
      </c>
      <c r="B75" s="14" t="s">
        <v>392</v>
      </c>
      <c r="C75" s="14" t="s">
        <v>587</v>
      </c>
      <c r="D75" s="15" t="n">
        <v>1</v>
      </c>
      <c r="E75" s="15" t="s">
        <v>379</v>
      </c>
      <c r="F75" s="15" t="s">
        <v>394</v>
      </c>
      <c r="G75" s="14"/>
    </row>
    <row r="76" customFormat="false" ht="15" hidden="false" customHeight="false" outlineLevel="0" collapsed="false">
      <c r="A76" s="41" t="s">
        <v>314</v>
      </c>
      <c r="B76" s="14" t="s">
        <v>419</v>
      </c>
      <c r="C76" s="14" t="s">
        <v>433</v>
      </c>
      <c r="D76" s="15" t="n">
        <v>1</v>
      </c>
      <c r="E76" s="15" t="s">
        <v>379</v>
      </c>
      <c r="F76" s="15" t="s">
        <v>394</v>
      </c>
      <c r="G76" s="14"/>
    </row>
    <row r="77" customFormat="false" ht="15" hidden="false" customHeight="false" outlineLevel="0" collapsed="false">
      <c r="A77" s="41" t="s">
        <v>314</v>
      </c>
      <c r="B77" s="14" t="s">
        <v>419</v>
      </c>
      <c r="C77" s="14" t="s">
        <v>424</v>
      </c>
      <c r="D77" s="15" t="n">
        <v>1</v>
      </c>
      <c r="E77" s="15" t="s">
        <v>379</v>
      </c>
      <c r="F77" s="15" t="s">
        <v>394</v>
      </c>
      <c r="G77" s="14"/>
    </row>
    <row r="78" customFormat="false" ht="15" hidden="false" customHeight="false" outlineLevel="0" collapsed="false">
      <c r="A78" s="41" t="s">
        <v>314</v>
      </c>
      <c r="B78" s="14" t="s">
        <v>396</v>
      </c>
      <c r="C78" s="14" t="s">
        <v>622</v>
      </c>
      <c r="D78" s="15" t="n">
        <v>1</v>
      </c>
      <c r="E78" s="15" t="s">
        <v>379</v>
      </c>
      <c r="F78" s="15" t="s">
        <v>394</v>
      </c>
      <c r="G78" s="14"/>
    </row>
    <row r="79" customFormat="false" ht="15" hidden="false" customHeight="false" outlineLevel="0" collapsed="false">
      <c r="A79" s="41" t="s">
        <v>314</v>
      </c>
      <c r="B79" s="14" t="s">
        <v>377</v>
      </c>
      <c r="C79" s="14" t="s">
        <v>553</v>
      </c>
      <c r="D79" s="15" t="n">
        <v>2</v>
      </c>
      <c r="E79" s="15" t="s">
        <v>379</v>
      </c>
      <c r="F79" s="15" t="s">
        <v>394</v>
      </c>
      <c r="G79" s="14"/>
    </row>
    <row r="80" customFormat="false" ht="15" hidden="false" customHeight="false" outlineLevel="0" collapsed="false">
      <c r="A80" s="41" t="s">
        <v>314</v>
      </c>
      <c r="B80" s="14" t="s">
        <v>377</v>
      </c>
      <c r="C80" s="14" t="s">
        <v>623</v>
      </c>
      <c r="D80" s="15" t="n">
        <v>1</v>
      </c>
      <c r="E80" s="15" t="s">
        <v>379</v>
      </c>
      <c r="F80" s="15" t="s">
        <v>394</v>
      </c>
      <c r="G80" s="14"/>
    </row>
    <row r="81" customFormat="false" ht="15" hidden="false" customHeight="false" outlineLevel="0" collapsed="false">
      <c r="A81" s="41" t="s">
        <v>314</v>
      </c>
      <c r="B81" s="14" t="s">
        <v>383</v>
      </c>
      <c r="C81" s="14" t="s">
        <v>402</v>
      </c>
      <c r="D81" s="15" t="n">
        <v>1</v>
      </c>
      <c r="E81" s="15" t="s">
        <v>379</v>
      </c>
      <c r="F81" s="15" t="s">
        <v>394</v>
      </c>
      <c r="G81" s="14"/>
    </row>
    <row r="82" customFormat="false" ht="15" hidden="false" customHeight="false" outlineLevel="0" collapsed="false">
      <c r="A82" s="41" t="s">
        <v>314</v>
      </c>
      <c r="B82" s="14" t="s">
        <v>383</v>
      </c>
      <c r="C82" s="14" t="s">
        <v>403</v>
      </c>
      <c r="D82" s="15" t="n">
        <v>10</v>
      </c>
      <c r="E82" s="15" t="s">
        <v>379</v>
      </c>
      <c r="F82" s="15" t="s">
        <v>394</v>
      </c>
      <c r="G82" s="14"/>
    </row>
    <row r="83" customFormat="false" ht="15" hidden="false" customHeight="false" outlineLevel="0" collapsed="false">
      <c r="A83" s="41" t="s">
        <v>314</v>
      </c>
      <c r="B83" s="14" t="s">
        <v>383</v>
      </c>
      <c r="C83" s="14" t="s">
        <v>421</v>
      </c>
      <c r="D83" s="15" t="n">
        <v>12</v>
      </c>
      <c r="E83" s="15" t="s">
        <v>379</v>
      </c>
      <c r="F83" s="15" t="s">
        <v>394</v>
      </c>
      <c r="G83" s="14"/>
    </row>
    <row r="84" customFormat="false" ht="15" hidden="false" customHeight="false" outlineLevel="0" collapsed="false">
      <c r="A84" s="41" t="s">
        <v>314</v>
      </c>
      <c r="B84" s="14" t="s">
        <v>404</v>
      </c>
      <c r="C84" s="14" t="s">
        <v>405</v>
      </c>
      <c r="D84" s="15" t="n">
        <v>1</v>
      </c>
      <c r="E84" s="15" t="s">
        <v>379</v>
      </c>
      <c r="F84" s="15" t="s">
        <v>394</v>
      </c>
      <c r="G84" s="14"/>
    </row>
    <row r="86" customFormat="false" ht="15" hidden="false" customHeight="false" outlineLevel="0" collapsed="false">
      <c r="A86" s="52" t="s">
        <v>319</v>
      </c>
      <c r="B86" s="29" t="s">
        <v>624</v>
      </c>
      <c r="C86" s="29"/>
      <c r="D86" s="29"/>
      <c r="E86" s="29"/>
      <c r="F86" s="29"/>
      <c r="G86" s="29"/>
    </row>
    <row r="87" customFormat="false" ht="30" hidden="false" customHeight="true" outlineLevel="0" collapsed="false">
      <c r="A87" s="53" t="s">
        <v>319</v>
      </c>
      <c r="B87" s="54" t="s">
        <v>625</v>
      </c>
      <c r="C87" s="54"/>
      <c r="D87" s="54"/>
      <c r="E87" s="54"/>
      <c r="F87" s="54"/>
      <c r="G87" s="54"/>
    </row>
    <row r="88" customFormat="false" ht="15" hidden="false" customHeight="false" outlineLevel="0" collapsed="false">
      <c r="A88" s="41" t="s">
        <v>319</v>
      </c>
      <c r="B88" s="14" t="s">
        <v>392</v>
      </c>
      <c r="C88" s="14" t="s">
        <v>587</v>
      </c>
      <c r="D88" s="15" t="n">
        <v>1</v>
      </c>
      <c r="E88" s="15" t="s">
        <v>379</v>
      </c>
      <c r="F88" s="15" t="s">
        <v>394</v>
      </c>
      <c r="G88" s="14"/>
    </row>
    <row r="89" customFormat="false" ht="15" hidden="false" customHeight="false" outlineLevel="0" collapsed="false">
      <c r="A89" s="41" t="s">
        <v>319</v>
      </c>
      <c r="B89" s="14" t="s">
        <v>419</v>
      </c>
      <c r="C89" s="14" t="s">
        <v>441</v>
      </c>
      <c r="D89" s="15" t="n">
        <v>3</v>
      </c>
      <c r="E89" s="15" t="s">
        <v>379</v>
      </c>
      <c r="F89" s="15" t="s">
        <v>394</v>
      </c>
      <c r="G89" s="14"/>
    </row>
    <row r="90" customFormat="false" ht="15" hidden="false" customHeight="false" outlineLevel="0" collapsed="false">
      <c r="A90" s="41" t="s">
        <v>319</v>
      </c>
      <c r="B90" s="14" t="s">
        <v>377</v>
      </c>
      <c r="C90" s="14" t="s">
        <v>378</v>
      </c>
      <c r="D90" s="15" t="n">
        <v>6</v>
      </c>
      <c r="E90" s="15" t="s">
        <v>379</v>
      </c>
      <c r="F90" s="15" t="s">
        <v>380</v>
      </c>
      <c r="G90" s="14" t="s">
        <v>626</v>
      </c>
    </row>
    <row r="91" customFormat="false" ht="15" hidden="false" customHeight="false" outlineLevel="0" collapsed="false">
      <c r="A91" s="41" t="s">
        <v>319</v>
      </c>
      <c r="B91" s="14" t="s">
        <v>398</v>
      </c>
      <c r="C91" s="14" t="s">
        <v>400</v>
      </c>
      <c r="D91" s="15" t="n">
        <v>6</v>
      </c>
      <c r="E91" s="15" t="s">
        <v>379</v>
      </c>
      <c r="F91" s="15" t="s">
        <v>380</v>
      </c>
      <c r="G91" s="14"/>
    </row>
    <row r="92" customFormat="false" ht="15" hidden="false" customHeight="false" outlineLevel="0" collapsed="false">
      <c r="A92" s="41" t="s">
        <v>319</v>
      </c>
      <c r="B92" s="14" t="s">
        <v>398</v>
      </c>
      <c r="C92" s="14" t="s">
        <v>525</v>
      </c>
      <c r="D92" s="15" t="n">
        <v>3</v>
      </c>
      <c r="E92" s="15" t="s">
        <v>379</v>
      </c>
      <c r="F92" s="15" t="s">
        <v>380</v>
      </c>
      <c r="G92" s="14" t="s">
        <v>627</v>
      </c>
    </row>
    <row r="93" customFormat="false" ht="15" hidden="false" customHeight="false" outlineLevel="0" collapsed="false">
      <c r="A93" s="41" t="s">
        <v>319</v>
      </c>
      <c r="B93" s="14" t="s">
        <v>398</v>
      </c>
      <c r="C93" s="14" t="s">
        <v>401</v>
      </c>
      <c r="D93" s="15" t="n">
        <v>3</v>
      </c>
      <c r="E93" s="15" t="s">
        <v>379</v>
      </c>
      <c r="F93" s="15" t="s">
        <v>380</v>
      </c>
      <c r="G93" s="14" t="s">
        <v>627</v>
      </c>
    </row>
    <row r="94" customFormat="false" ht="15" hidden="false" customHeight="false" outlineLevel="0" collapsed="false">
      <c r="A94" s="41" t="s">
        <v>319</v>
      </c>
      <c r="B94" s="14" t="s">
        <v>383</v>
      </c>
      <c r="C94" s="14" t="s">
        <v>402</v>
      </c>
      <c r="D94" s="15" t="n">
        <v>1</v>
      </c>
      <c r="E94" s="15" t="s">
        <v>379</v>
      </c>
      <c r="F94" s="15" t="s">
        <v>394</v>
      </c>
      <c r="G94" s="14"/>
    </row>
    <row r="95" customFormat="false" ht="15" hidden="false" customHeight="false" outlineLevel="0" collapsed="false">
      <c r="A95" s="41" t="s">
        <v>319</v>
      </c>
      <c r="B95" s="14" t="s">
        <v>383</v>
      </c>
      <c r="C95" s="14" t="s">
        <v>403</v>
      </c>
      <c r="D95" s="15" t="n">
        <v>20</v>
      </c>
      <c r="E95" s="15" t="s">
        <v>379</v>
      </c>
      <c r="F95" s="15" t="s">
        <v>394</v>
      </c>
      <c r="G95" s="14"/>
    </row>
    <row r="96" customFormat="false" ht="15" hidden="false" customHeight="false" outlineLevel="0" collapsed="false">
      <c r="A96" s="41" t="s">
        <v>319</v>
      </c>
      <c r="B96" s="14" t="s">
        <v>383</v>
      </c>
      <c r="C96" s="14" t="s">
        <v>421</v>
      </c>
      <c r="D96" s="15" t="n">
        <v>12</v>
      </c>
      <c r="E96" s="15" t="s">
        <v>379</v>
      </c>
      <c r="F96" s="15" t="s">
        <v>394</v>
      </c>
      <c r="G96" s="14"/>
    </row>
    <row r="97" customFormat="false" ht="15" hidden="false" customHeight="false" outlineLevel="0" collapsed="false">
      <c r="A97" s="41" t="s">
        <v>319</v>
      </c>
      <c r="B97" s="14" t="s">
        <v>404</v>
      </c>
      <c r="C97" s="14" t="s">
        <v>405</v>
      </c>
      <c r="D97" s="15" t="n">
        <v>1</v>
      </c>
      <c r="E97" s="15" t="s">
        <v>379</v>
      </c>
      <c r="F97" s="15" t="s">
        <v>394</v>
      </c>
      <c r="G97" s="14"/>
    </row>
    <row r="98" customFormat="false" ht="15" hidden="false" customHeight="false" outlineLevel="0" collapsed="false">
      <c r="A98" s="41" t="s">
        <v>319</v>
      </c>
      <c r="B98" s="14" t="s">
        <v>386</v>
      </c>
      <c r="C98" s="14" t="s">
        <v>437</v>
      </c>
      <c r="D98" s="15" t="n">
        <v>2</v>
      </c>
      <c r="E98" s="15" t="s">
        <v>379</v>
      </c>
      <c r="F98" s="15" t="s">
        <v>380</v>
      </c>
      <c r="G98" s="14" t="s">
        <v>628</v>
      </c>
    </row>
    <row r="100" customFormat="false" ht="15" hidden="false" customHeight="false" outlineLevel="0" collapsed="false">
      <c r="A100" s="52" t="s">
        <v>323</v>
      </c>
      <c r="B100" s="29" t="s">
        <v>629</v>
      </c>
      <c r="C100" s="29"/>
      <c r="D100" s="29"/>
      <c r="E100" s="29"/>
      <c r="F100" s="29"/>
      <c r="G100" s="29"/>
    </row>
    <row r="101" customFormat="false" ht="30" hidden="false" customHeight="true" outlineLevel="0" collapsed="false">
      <c r="A101" s="53" t="s">
        <v>323</v>
      </c>
      <c r="B101" s="54" t="s">
        <v>630</v>
      </c>
      <c r="C101" s="54"/>
      <c r="D101" s="54"/>
      <c r="E101" s="54"/>
      <c r="F101" s="54"/>
      <c r="G101" s="54"/>
    </row>
    <row r="102" customFormat="false" ht="15" hidden="false" customHeight="false" outlineLevel="0" collapsed="false">
      <c r="A102" s="41" t="s">
        <v>323</v>
      </c>
      <c r="B102" s="14" t="s">
        <v>392</v>
      </c>
      <c r="C102" s="14" t="s">
        <v>587</v>
      </c>
      <c r="D102" s="15" t="n">
        <v>1</v>
      </c>
      <c r="E102" s="15" t="s">
        <v>379</v>
      </c>
      <c r="F102" s="15" t="s">
        <v>394</v>
      </c>
      <c r="G102" s="14"/>
    </row>
    <row r="103" customFormat="false" ht="15" hidden="false" customHeight="false" outlineLevel="0" collapsed="false">
      <c r="A103" s="41" t="s">
        <v>323</v>
      </c>
      <c r="B103" s="14" t="s">
        <v>419</v>
      </c>
      <c r="C103" s="14" t="s">
        <v>433</v>
      </c>
      <c r="D103" s="15" t="n">
        <v>1</v>
      </c>
      <c r="E103" s="15" t="s">
        <v>379</v>
      </c>
      <c r="F103" s="15" t="s">
        <v>394</v>
      </c>
      <c r="G103" s="14"/>
    </row>
    <row r="104" customFormat="false" ht="15" hidden="false" customHeight="false" outlineLevel="0" collapsed="false">
      <c r="A104" s="41" t="s">
        <v>323</v>
      </c>
      <c r="B104" s="14" t="s">
        <v>571</v>
      </c>
      <c r="C104" s="14" t="s">
        <v>572</v>
      </c>
      <c r="D104" s="15" t="n">
        <v>1</v>
      </c>
      <c r="E104" s="15" t="s">
        <v>379</v>
      </c>
      <c r="F104" s="15" t="s">
        <v>394</v>
      </c>
      <c r="G104" s="14"/>
    </row>
    <row r="105" customFormat="false" ht="15" hidden="false" customHeight="false" outlineLevel="0" collapsed="false">
      <c r="A105" s="41" t="s">
        <v>323</v>
      </c>
      <c r="B105" s="14" t="s">
        <v>571</v>
      </c>
      <c r="C105" s="14" t="s">
        <v>631</v>
      </c>
      <c r="D105" s="15" t="n">
        <v>1</v>
      </c>
      <c r="E105" s="15" t="s">
        <v>379</v>
      </c>
      <c r="F105" s="15" t="s">
        <v>394</v>
      </c>
      <c r="G105" s="14"/>
    </row>
    <row r="106" customFormat="false" ht="15" hidden="false" customHeight="false" outlineLevel="0" collapsed="false">
      <c r="A106" s="41" t="s">
        <v>323</v>
      </c>
      <c r="B106" s="14" t="s">
        <v>396</v>
      </c>
      <c r="C106" s="14" t="s">
        <v>436</v>
      </c>
      <c r="D106" s="15" t="n">
        <v>1</v>
      </c>
      <c r="E106" s="15" t="s">
        <v>379</v>
      </c>
      <c r="F106" s="15" t="s">
        <v>394</v>
      </c>
      <c r="G106" s="14"/>
    </row>
    <row r="107" customFormat="false" ht="15" hidden="false" customHeight="false" outlineLevel="0" collapsed="false">
      <c r="A107" s="41" t="s">
        <v>323</v>
      </c>
      <c r="B107" s="14" t="s">
        <v>396</v>
      </c>
      <c r="C107" s="14" t="s">
        <v>397</v>
      </c>
      <c r="D107" s="15" t="n">
        <v>1</v>
      </c>
      <c r="E107" s="15" t="s">
        <v>379</v>
      </c>
      <c r="F107" s="15" t="s">
        <v>394</v>
      </c>
      <c r="G107" s="14"/>
    </row>
    <row r="108" customFormat="false" ht="15" hidden="false" customHeight="false" outlineLevel="0" collapsed="false">
      <c r="A108" s="41" t="s">
        <v>323</v>
      </c>
      <c r="B108" s="14" t="s">
        <v>377</v>
      </c>
      <c r="C108" s="14" t="s">
        <v>478</v>
      </c>
      <c r="D108" s="15" t="n">
        <v>1</v>
      </c>
      <c r="E108" s="15" t="s">
        <v>379</v>
      </c>
      <c r="F108" s="15" t="s">
        <v>394</v>
      </c>
      <c r="G108" s="14"/>
    </row>
    <row r="109" customFormat="false" ht="15" hidden="false" customHeight="false" outlineLevel="0" collapsed="false">
      <c r="A109" s="41" t="s">
        <v>323</v>
      </c>
      <c r="B109" s="14" t="s">
        <v>383</v>
      </c>
      <c r="C109" s="14" t="s">
        <v>402</v>
      </c>
      <c r="D109" s="15" t="n">
        <v>1</v>
      </c>
      <c r="E109" s="15" t="s">
        <v>379</v>
      </c>
      <c r="F109" s="15" t="s">
        <v>394</v>
      </c>
      <c r="G109" s="14"/>
    </row>
    <row r="110" customFormat="false" ht="15" hidden="false" customHeight="false" outlineLevel="0" collapsed="false">
      <c r="A110" s="41" t="s">
        <v>323</v>
      </c>
      <c r="B110" s="14" t="s">
        <v>383</v>
      </c>
      <c r="C110" s="14" t="s">
        <v>403</v>
      </c>
      <c r="D110" s="15" t="n">
        <v>12</v>
      </c>
      <c r="E110" s="15" t="s">
        <v>379</v>
      </c>
      <c r="F110" s="15" t="s">
        <v>394</v>
      </c>
      <c r="G110" s="14"/>
    </row>
    <row r="111" customFormat="false" ht="15" hidden="false" customHeight="false" outlineLevel="0" collapsed="false">
      <c r="A111" s="41" t="s">
        <v>323</v>
      </c>
      <c r="B111" s="14" t="s">
        <v>383</v>
      </c>
      <c r="C111" s="14" t="s">
        <v>421</v>
      </c>
      <c r="D111" s="15" t="n">
        <v>14</v>
      </c>
      <c r="E111" s="15" t="s">
        <v>379</v>
      </c>
      <c r="F111" s="15" t="s">
        <v>394</v>
      </c>
      <c r="G111" s="14"/>
    </row>
    <row r="112" customFormat="false" ht="15" hidden="false" customHeight="false" outlineLevel="0" collapsed="false">
      <c r="A112" s="41" t="s">
        <v>323</v>
      </c>
      <c r="B112" s="14" t="s">
        <v>404</v>
      </c>
      <c r="C112" s="14" t="s">
        <v>405</v>
      </c>
      <c r="D112" s="15" t="n">
        <v>1</v>
      </c>
      <c r="E112" s="15" t="s">
        <v>379</v>
      </c>
      <c r="F112" s="15" t="s">
        <v>394</v>
      </c>
      <c r="G112" s="14"/>
    </row>
    <row r="114" customFormat="false" ht="15" hidden="false" customHeight="false" outlineLevel="0" collapsed="false">
      <c r="A114" s="52" t="s">
        <v>327</v>
      </c>
      <c r="B114" s="29" t="s">
        <v>632</v>
      </c>
      <c r="C114" s="29"/>
      <c r="D114" s="29"/>
      <c r="E114" s="29"/>
      <c r="F114" s="29"/>
      <c r="G114" s="29"/>
    </row>
    <row r="115" customFormat="false" ht="30" hidden="false" customHeight="true" outlineLevel="0" collapsed="false">
      <c r="A115" s="53" t="s">
        <v>327</v>
      </c>
      <c r="B115" s="54" t="s">
        <v>633</v>
      </c>
      <c r="C115" s="54"/>
      <c r="D115" s="54"/>
      <c r="E115" s="54"/>
      <c r="F115" s="54"/>
      <c r="G115" s="54"/>
    </row>
    <row r="116" customFormat="false" ht="15" hidden="false" customHeight="false" outlineLevel="0" collapsed="false">
      <c r="A116" s="41" t="s">
        <v>327</v>
      </c>
      <c r="B116" s="14" t="s">
        <v>392</v>
      </c>
      <c r="C116" s="14" t="s">
        <v>587</v>
      </c>
      <c r="D116" s="15" t="n">
        <v>1</v>
      </c>
      <c r="E116" s="15" t="s">
        <v>379</v>
      </c>
      <c r="F116" s="15" t="s">
        <v>394</v>
      </c>
      <c r="G116" s="14"/>
    </row>
    <row r="117" customFormat="false" ht="15" hidden="false" customHeight="false" outlineLevel="0" collapsed="false">
      <c r="A117" s="41" t="s">
        <v>327</v>
      </c>
      <c r="B117" s="14" t="s">
        <v>419</v>
      </c>
      <c r="C117" s="14" t="s">
        <v>424</v>
      </c>
      <c r="D117" s="15" t="n">
        <v>1</v>
      </c>
      <c r="E117" s="15" t="s">
        <v>379</v>
      </c>
      <c r="F117" s="15" t="s">
        <v>394</v>
      </c>
      <c r="G117" s="14"/>
    </row>
    <row r="118" customFormat="false" ht="15" hidden="false" customHeight="false" outlineLevel="0" collapsed="false">
      <c r="A118" s="41" t="s">
        <v>327</v>
      </c>
      <c r="B118" s="14" t="s">
        <v>419</v>
      </c>
      <c r="C118" s="14" t="s">
        <v>420</v>
      </c>
      <c r="D118" s="15" t="n">
        <v>1</v>
      </c>
      <c r="E118" s="15" t="s">
        <v>379</v>
      </c>
      <c r="F118" s="15" t="s">
        <v>394</v>
      </c>
      <c r="G118" s="14"/>
    </row>
    <row r="119" customFormat="false" ht="15" hidden="false" customHeight="false" outlineLevel="0" collapsed="false">
      <c r="A119" s="41" t="s">
        <v>327</v>
      </c>
      <c r="B119" s="14" t="s">
        <v>419</v>
      </c>
      <c r="C119" s="14" t="s">
        <v>619</v>
      </c>
      <c r="D119" s="15" t="n">
        <v>1</v>
      </c>
      <c r="E119" s="15" t="s">
        <v>379</v>
      </c>
      <c r="F119" s="15" t="s">
        <v>394</v>
      </c>
      <c r="G119" s="14"/>
    </row>
    <row r="120" customFormat="false" ht="15" hidden="false" customHeight="false" outlineLevel="0" collapsed="false">
      <c r="A120" s="41" t="s">
        <v>327</v>
      </c>
      <c r="B120" s="14" t="s">
        <v>383</v>
      </c>
      <c r="C120" s="14" t="s">
        <v>402</v>
      </c>
      <c r="D120" s="15" t="n">
        <v>1</v>
      </c>
      <c r="E120" s="15" t="s">
        <v>379</v>
      </c>
      <c r="F120" s="15" t="s">
        <v>394</v>
      </c>
      <c r="G120" s="14"/>
    </row>
    <row r="121" customFormat="false" ht="15" hidden="false" customHeight="false" outlineLevel="0" collapsed="false">
      <c r="A121" s="41" t="s">
        <v>327</v>
      </c>
      <c r="B121" s="14" t="s">
        <v>383</v>
      </c>
      <c r="C121" s="14" t="s">
        <v>403</v>
      </c>
      <c r="D121" s="15" t="n">
        <v>8</v>
      </c>
      <c r="E121" s="15" t="s">
        <v>379</v>
      </c>
      <c r="F121" s="15" t="s">
        <v>394</v>
      </c>
      <c r="G121" s="14"/>
    </row>
    <row r="122" customFormat="false" ht="15" hidden="false" customHeight="false" outlineLevel="0" collapsed="false">
      <c r="A122" s="41" t="s">
        <v>327</v>
      </c>
      <c r="B122" s="14" t="s">
        <v>383</v>
      </c>
      <c r="C122" s="14" t="s">
        <v>421</v>
      </c>
      <c r="D122" s="15" t="n">
        <v>6</v>
      </c>
      <c r="E122" s="15" t="s">
        <v>379</v>
      </c>
      <c r="F122" s="15" t="s">
        <v>394</v>
      </c>
      <c r="G122" s="14"/>
    </row>
    <row r="123" customFormat="false" ht="15" hidden="false" customHeight="false" outlineLevel="0" collapsed="false">
      <c r="A123" s="41" t="s">
        <v>327</v>
      </c>
      <c r="B123" s="14" t="s">
        <v>404</v>
      </c>
      <c r="C123" s="14" t="s">
        <v>405</v>
      </c>
      <c r="D123" s="15" t="n">
        <v>1</v>
      </c>
      <c r="E123" s="15" t="s">
        <v>379</v>
      </c>
      <c r="F123" s="15" t="s">
        <v>394</v>
      </c>
      <c r="G123" s="14"/>
    </row>
    <row r="125" customFormat="false" ht="15" hidden="false" customHeight="false" outlineLevel="0" collapsed="false">
      <c r="A125" s="52" t="s">
        <v>332</v>
      </c>
      <c r="B125" s="29" t="s">
        <v>634</v>
      </c>
      <c r="C125" s="29"/>
      <c r="D125" s="29"/>
      <c r="E125" s="29"/>
      <c r="F125" s="29"/>
      <c r="G125" s="29"/>
    </row>
    <row r="126" customFormat="false" ht="30" hidden="false" customHeight="true" outlineLevel="0" collapsed="false">
      <c r="A126" s="53" t="s">
        <v>332</v>
      </c>
      <c r="B126" s="54" t="s">
        <v>635</v>
      </c>
      <c r="C126" s="54"/>
      <c r="D126" s="54"/>
      <c r="E126" s="54"/>
      <c r="F126" s="54"/>
      <c r="G126" s="54"/>
    </row>
    <row r="127" customFormat="false" ht="15" hidden="false" customHeight="false" outlineLevel="0" collapsed="false">
      <c r="A127" s="41" t="s">
        <v>332</v>
      </c>
      <c r="B127" s="14" t="s">
        <v>392</v>
      </c>
      <c r="C127" s="14" t="s">
        <v>587</v>
      </c>
      <c r="D127" s="15" t="n">
        <v>1</v>
      </c>
      <c r="E127" s="15" t="s">
        <v>379</v>
      </c>
      <c r="F127" s="15" t="s">
        <v>394</v>
      </c>
      <c r="G127" s="14"/>
    </row>
    <row r="128" customFormat="false" ht="15" hidden="false" customHeight="false" outlineLevel="0" collapsed="false">
      <c r="A128" s="41" t="s">
        <v>332</v>
      </c>
      <c r="B128" s="14" t="s">
        <v>419</v>
      </c>
      <c r="C128" s="14" t="s">
        <v>424</v>
      </c>
      <c r="D128" s="15" t="n">
        <v>1</v>
      </c>
      <c r="E128" s="15" t="s">
        <v>379</v>
      </c>
      <c r="F128" s="15" t="s">
        <v>394</v>
      </c>
      <c r="G128" s="14"/>
    </row>
    <row r="129" customFormat="false" ht="15" hidden="false" customHeight="false" outlineLevel="0" collapsed="false">
      <c r="A129" s="41" t="s">
        <v>332</v>
      </c>
      <c r="B129" s="14" t="s">
        <v>419</v>
      </c>
      <c r="C129" s="14" t="s">
        <v>420</v>
      </c>
      <c r="D129" s="15" t="n">
        <v>1</v>
      </c>
      <c r="E129" s="15" t="s">
        <v>379</v>
      </c>
      <c r="F129" s="15" t="s">
        <v>394</v>
      </c>
      <c r="G129" s="14"/>
    </row>
    <row r="130" customFormat="false" ht="15" hidden="false" customHeight="false" outlineLevel="0" collapsed="false">
      <c r="A130" s="41" t="s">
        <v>332</v>
      </c>
      <c r="B130" s="14" t="s">
        <v>419</v>
      </c>
      <c r="C130" s="14" t="s">
        <v>487</v>
      </c>
      <c r="D130" s="15" t="n">
        <v>1</v>
      </c>
      <c r="E130" s="15" t="s">
        <v>379</v>
      </c>
      <c r="F130" s="15" t="s">
        <v>394</v>
      </c>
      <c r="G130" s="14"/>
    </row>
    <row r="131" customFormat="false" ht="15" hidden="false" customHeight="false" outlineLevel="0" collapsed="false">
      <c r="A131" s="41" t="s">
        <v>332</v>
      </c>
      <c r="B131" s="14" t="s">
        <v>383</v>
      </c>
      <c r="C131" s="14" t="s">
        <v>402</v>
      </c>
      <c r="D131" s="15" t="n">
        <v>1</v>
      </c>
      <c r="E131" s="15" t="s">
        <v>379</v>
      </c>
      <c r="F131" s="15" t="s">
        <v>394</v>
      </c>
      <c r="G131" s="14"/>
    </row>
    <row r="132" customFormat="false" ht="15" hidden="false" customHeight="false" outlineLevel="0" collapsed="false">
      <c r="A132" s="41" t="s">
        <v>332</v>
      </c>
      <c r="B132" s="14" t="s">
        <v>383</v>
      </c>
      <c r="C132" s="14" t="s">
        <v>403</v>
      </c>
      <c r="D132" s="15" t="n">
        <v>8</v>
      </c>
      <c r="E132" s="15" t="s">
        <v>379</v>
      </c>
      <c r="F132" s="15" t="s">
        <v>394</v>
      </c>
      <c r="G132" s="14"/>
    </row>
    <row r="133" customFormat="false" ht="15" hidden="false" customHeight="false" outlineLevel="0" collapsed="false">
      <c r="A133" s="41" t="s">
        <v>332</v>
      </c>
      <c r="B133" s="14" t="s">
        <v>383</v>
      </c>
      <c r="C133" s="14" t="s">
        <v>421</v>
      </c>
      <c r="D133" s="15" t="n">
        <v>6</v>
      </c>
      <c r="E133" s="15" t="s">
        <v>379</v>
      </c>
      <c r="F133" s="15" t="s">
        <v>394</v>
      </c>
      <c r="G133" s="14"/>
    </row>
    <row r="134" customFormat="false" ht="15" hidden="false" customHeight="false" outlineLevel="0" collapsed="false">
      <c r="A134" s="41" t="s">
        <v>332</v>
      </c>
      <c r="B134" s="14" t="s">
        <v>404</v>
      </c>
      <c r="C134" s="14" t="s">
        <v>405</v>
      </c>
      <c r="D134" s="15" t="n">
        <v>1</v>
      </c>
      <c r="E134" s="15" t="s">
        <v>379</v>
      </c>
      <c r="F134" s="15" t="s">
        <v>394</v>
      </c>
      <c r="G134" s="14"/>
    </row>
    <row r="136" customFormat="false" ht="15" hidden="false" customHeight="false" outlineLevel="0" collapsed="false">
      <c r="A136" s="52" t="s">
        <v>337</v>
      </c>
      <c r="B136" s="29" t="s">
        <v>636</v>
      </c>
      <c r="C136" s="29"/>
      <c r="D136" s="29"/>
      <c r="E136" s="29"/>
      <c r="F136" s="29"/>
      <c r="G136" s="29"/>
    </row>
    <row r="137" customFormat="false" ht="30" hidden="false" customHeight="true" outlineLevel="0" collapsed="false">
      <c r="A137" s="53" t="s">
        <v>337</v>
      </c>
      <c r="B137" s="54" t="s">
        <v>637</v>
      </c>
      <c r="C137" s="54"/>
      <c r="D137" s="54"/>
      <c r="E137" s="54"/>
      <c r="F137" s="54"/>
      <c r="G137" s="54"/>
    </row>
    <row r="138" customFormat="false" ht="15" hidden="false" customHeight="false" outlineLevel="0" collapsed="false">
      <c r="A138" s="41" t="s">
        <v>337</v>
      </c>
      <c r="B138" s="14" t="s">
        <v>404</v>
      </c>
      <c r="C138" s="14" t="s">
        <v>405</v>
      </c>
      <c r="D138" s="15" t="n">
        <v>1</v>
      </c>
      <c r="E138" s="15" t="s">
        <v>379</v>
      </c>
      <c r="F138" s="15" t="s">
        <v>394</v>
      </c>
      <c r="G138" s="14"/>
    </row>
    <row r="140" customFormat="false" ht="15" hidden="false" customHeight="false" outlineLevel="0" collapsed="false">
      <c r="A140" s="52" t="s">
        <v>341</v>
      </c>
      <c r="B140" s="29" t="s">
        <v>638</v>
      </c>
      <c r="C140" s="29"/>
      <c r="D140" s="29"/>
      <c r="E140" s="29"/>
      <c r="F140" s="29"/>
      <c r="G140" s="29"/>
    </row>
    <row r="141" customFormat="false" ht="30" hidden="false" customHeight="true" outlineLevel="0" collapsed="false">
      <c r="A141" s="53" t="s">
        <v>341</v>
      </c>
      <c r="B141" s="54" t="s">
        <v>639</v>
      </c>
      <c r="C141" s="54"/>
      <c r="D141" s="54"/>
      <c r="E141" s="54"/>
      <c r="F141" s="54"/>
      <c r="G141" s="54"/>
    </row>
    <row r="142" customFormat="false" ht="15" hidden="false" customHeight="false" outlineLevel="0" collapsed="false">
      <c r="A142" s="41" t="s">
        <v>341</v>
      </c>
      <c r="B142" s="14" t="s">
        <v>392</v>
      </c>
      <c r="C142" s="14" t="s">
        <v>587</v>
      </c>
      <c r="D142" s="15" t="n">
        <v>1</v>
      </c>
      <c r="E142" s="15" t="s">
        <v>379</v>
      </c>
      <c r="F142" s="15" t="s">
        <v>394</v>
      </c>
      <c r="G142" s="14"/>
    </row>
    <row r="143" customFormat="false" ht="15" hidden="false" customHeight="false" outlineLevel="0" collapsed="false">
      <c r="A143" s="41" t="s">
        <v>341</v>
      </c>
      <c r="B143" s="14" t="s">
        <v>419</v>
      </c>
      <c r="C143" s="14" t="s">
        <v>424</v>
      </c>
      <c r="D143" s="15" t="n">
        <v>1</v>
      </c>
      <c r="E143" s="15" t="s">
        <v>379</v>
      </c>
      <c r="F143" s="15" t="s">
        <v>394</v>
      </c>
      <c r="G143" s="14"/>
    </row>
    <row r="144" customFormat="false" ht="15" hidden="false" customHeight="false" outlineLevel="0" collapsed="false">
      <c r="A144" s="41" t="s">
        <v>341</v>
      </c>
      <c r="B144" s="14" t="s">
        <v>396</v>
      </c>
      <c r="C144" s="14" t="s">
        <v>552</v>
      </c>
      <c r="D144" s="15" t="n">
        <v>1</v>
      </c>
      <c r="E144" s="15" t="s">
        <v>379</v>
      </c>
      <c r="F144" s="15" t="s">
        <v>394</v>
      </c>
      <c r="G144" s="14"/>
    </row>
    <row r="145" customFormat="false" ht="15" hidden="false" customHeight="false" outlineLevel="0" collapsed="false">
      <c r="A145" s="41" t="s">
        <v>341</v>
      </c>
      <c r="B145" s="14" t="s">
        <v>377</v>
      </c>
      <c r="C145" s="14" t="s">
        <v>553</v>
      </c>
      <c r="D145" s="15" t="n">
        <v>1</v>
      </c>
      <c r="E145" s="15" t="s">
        <v>379</v>
      </c>
      <c r="F145" s="15" t="s">
        <v>394</v>
      </c>
      <c r="G145" s="14"/>
    </row>
    <row r="146" customFormat="false" ht="15" hidden="false" customHeight="false" outlineLevel="0" collapsed="false">
      <c r="A146" s="41" t="s">
        <v>341</v>
      </c>
      <c r="B146" s="14" t="s">
        <v>377</v>
      </c>
      <c r="C146" s="14" t="s">
        <v>378</v>
      </c>
      <c r="D146" s="15" t="n">
        <v>2</v>
      </c>
      <c r="E146" s="15" t="s">
        <v>379</v>
      </c>
      <c r="F146" s="15" t="s">
        <v>380</v>
      </c>
      <c r="G146" s="14"/>
    </row>
    <row r="147" customFormat="false" ht="15" hidden="false" customHeight="false" outlineLevel="0" collapsed="false">
      <c r="A147" s="41" t="s">
        <v>341</v>
      </c>
      <c r="B147" s="14" t="s">
        <v>398</v>
      </c>
      <c r="C147" s="14" t="s">
        <v>400</v>
      </c>
      <c r="D147" s="15" t="n">
        <v>2</v>
      </c>
      <c r="E147" s="15" t="s">
        <v>379</v>
      </c>
      <c r="F147" s="15" t="s">
        <v>380</v>
      </c>
      <c r="G147" s="14"/>
    </row>
    <row r="148" customFormat="false" ht="15" hidden="false" customHeight="false" outlineLevel="0" collapsed="false">
      <c r="A148" s="41" t="s">
        <v>341</v>
      </c>
      <c r="B148" s="14" t="s">
        <v>383</v>
      </c>
      <c r="C148" s="14" t="s">
        <v>402</v>
      </c>
      <c r="D148" s="15" t="n">
        <v>1</v>
      </c>
      <c r="E148" s="15" t="s">
        <v>379</v>
      </c>
      <c r="F148" s="15" t="s">
        <v>394</v>
      </c>
      <c r="G148" s="14"/>
    </row>
    <row r="149" customFormat="false" ht="15" hidden="false" customHeight="false" outlineLevel="0" collapsed="false">
      <c r="A149" s="41" t="s">
        <v>341</v>
      </c>
      <c r="B149" s="14" t="s">
        <v>383</v>
      </c>
      <c r="C149" s="14" t="s">
        <v>403</v>
      </c>
      <c r="D149" s="15" t="n">
        <v>8</v>
      </c>
      <c r="E149" s="15" t="s">
        <v>379</v>
      </c>
      <c r="F149" s="15" t="s">
        <v>394</v>
      </c>
      <c r="G149" s="14"/>
    </row>
    <row r="150" customFormat="false" ht="15" hidden="false" customHeight="false" outlineLevel="0" collapsed="false">
      <c r="A150" s="41" t="s">
        <v>341</v>
      </c>
      <c r="B150" s="14" t="s">
        <v>383</v>
      </c>
      <c r="C150" s="14" t="s">
        <v>421</v>
      </c>
      <c r="D150" s="15" t="n">
        <v>6</v>
      </c>
      <c r="E150" s="15" t="s">
        <v>379</v>
      </c>
      <c r="F150" s="15" t="s">
        <v>394</v>
      </c>
      <c r="G150" s="14"/>
    </row>
    <row r="151" customFormat="false" ht="15" hidden="false" customHeight="false" outlineLevel="0" collapsed="false">
      <c r="A151" s="41" t="s">
        <v>341</v>
      </c>
      <c r="B151" s="14" t="s">
        <v>404</v>
      </c>
      <c r="C151" s="14" t="s">
        <v>405</v>
      </c>
      <c r="D151" s="15" t="n">
        <v>1</v>
      </c>
      <c r="E151" s="15" t="s">
        <v>379</v>
      </c>
      <c r="F151" s="15" t="s">
        <v>394</v>
      </c>
      <c r="G151" s="14"/>
    </row>
    <row r="153" customFormat="false" ht="15" hidden="false" customHeight="false" outlineLevel="0" collapsed="false">
      <c r="A153" s="52" t="s">
        <v>346</v>
      </c>
      <c r="B153" s="29" t="s">
        <v>640</v>
      </c>
      <c r="C153" s="29"/>
      <c r="D153" s="29"/>
      <c r="E153" s="29"/>
      <c r="F153" s="29"/>
      <c r="G153" s="29"/>
    </row>
    <row r="154" customFormat="false" ht="30" hidden="false" customHeight="true" outlineLevel="0" collapsed="false">
      <c r="A154" s="53" t="s">
        <v>346</v>
      </c>
      <c r="B154" s="54" t="s">
        <v>641</v>
      </c>
      <c r="C154" s="54"/>
      <c r="D154" s="54"/>
      <c r="E154" s="54"/>
      <c r="F154" s="54"/>
      <c r="G154" s="54"/>
    </row>
    <row r="155" customFormat="false" ht="15" hidden="false" customHeight="false" outlineLevel="0" collapsed="false">
      <c r="A155" s="41" t="s">
        <v>346</v>
      </c>
      <c r="B155" s="14" t="s">
        <v>404</v>
      </c>
      <c r="C155" s="14" t="s">
        <v>405</v>
      </c>
      <c r="D155" s="15" t="n">
        <v>1</v>
      </c>
      <c r="E155" s="15" t="s">
        <v>379</v>
      </c>
      <c r="F155" s="15" t="s">
        <v>394</v>
      </c>
      <c r="G155" s="14"/>
    </row>
    <row r="157" customFormat="false" ht="15" hidden="false" customHeight="false" outlineLevel="0" collapsed="false">
      <c r="A157" s="52" t="s">
        <v>350</v>
      </c>
      <c r="B157" s="29" t="s">
        <v>642</v>
      </c>
      <c r="C157" s="29"/>
      <c r="D157" s="29"/>
      <c r="E157" s="29"/>
      <c r="F157" s="29"/>
      <c r="G157" s="29"/>
    </row>
    <row r="158" customFormat="false" ht="30" hidden="false" customHeight="true" outlineLevel="0" collapsed="false">
      <c r="A158" s="53" t="s">
        <v>350</v>
      </c>
      <c r="B158" s="54" t="s">
        <v>643</v>
      </c>
      <c r="C158" s="54"/>
      <c r="D158" s="54"/>
      <c r="E158" s="54"/>
      <c r="F158" s="54"/>
      <c r="G158" s="54"/>
    </row>
    <row r="159" customFormat="false" ht="15" hidden="false" customHeight="false" outlineLevel="0" collapsed="false">
      <c r="A159" s="41" t="s">
        <v>350</v>
      </c>
      <c r="B159" s="14" t="s">
        <v>392</v>
      </c>
      <c r="C159" s="14" t="s">
        <v>393</v>
      </c>
      <c r="D159" s="15" t="n">
        <v>1</v>
      </c>
      <c r="E159" s="15" t="s">
        <v>379</v>
      </c>
      <c r="F159" s="15" t="s">
        <v>394</v>
      </c>
      <c r="G159" s="14"/>
    </row>
    <row r="160" customFormat="false" ht="15" hidden="false" customHeight="false" outlineLevel="0" collapsed="false">
      <c r="A160" s="41" t="s">
        <v>350</v>
      </c>
      <c r="B160" s="14" t="s">
        <v>447</v>
      </c>
      <c r="C160" s="14" t="s">
        <v>517</v>
      </c>
      <c r="D160" s="15" t="n">
        <v>1</v>
      </c>
      <c r="E160" s="15" t="s">
        <v>379</v>
      </c>
      <c r="F160" s="15" t="s">
        <v>394</v>
      </c>
      <c r="G160" s="14"/>
    </row>
    <row r="161" customFormat="false" ht="15" hidden="false" customHeight="false" outlineLevel="0" collapsed="false">
      <c r="A161" s="41" t="s">
        <v>350</v>
      </c>
      <c r="B161" s="14" t="s">
        <v>419</v>
      </c>
      <c r="C161" s="14" t="s">
        <v>491</v>
      </c>
      <c r="D161" s="15" t="n">
        <v>3</v>
      </c>
      <c r="E161" s="15" t="s">
        <v>379</v>
      </c>
      <c r="F161" s="15" t="s">
        <v>394</v>
      </c>
      <c r="G161" s="14"/>
    </row>
    <row r="162" customFormat="false" ht="15" hidden="false" customHeight="false" outlineLevel="0" collapsed="false">
      <c r="A162" s="41" t="s">
        <v>350</v>
      </c>
      <c r="B162" s="14" t="s">
        <v>396</v>
      </c>
      <c r="C162" s="14" t="s">
        <v>500</v>
      </c>
      <c r="D162" s="15" t="n">
        <v>1</v>
      </c>
      <c r="E162" s="15" t="s">
        <v>379</v>
      </c>
      <c r="F162" s="15" t="s">
        <v>394</v>
      </c>
      <c r="G162" s="14"/>
    </row>
    <row r="163" customFormat="false" ht="15" hidden="false" customHeight="false" outlineLevel="0" collapsed="false">
      <c r="A163" s="41" t="s">
        <v>350</v>
      </c>
      <c r="B163" s="14" t="s">
        <v>396</v>
      </c>
      <c r="C163" s="14" t="s">
        <v>436</v>
      </c>
      <c r="D163" s="15" t="n">
        <v>1</v>
      </c>
      <c r="E163" s="15" t="s">
        <v>379</v>
      </c>
      <c r="F163" s="15" t="s">
        <v>394</v>
      </c>
      <c r="G163" s="14"/>
    </row>
    <row r="164" customFormat="false" ht="15" hidden="false" customHeight="false" outlineLevel="0" collapsed="false">
      <c r="A164" s="41" t="s">
        <v>350</v>
      </c>
      <c r="B164" s="14" t="s">
        <v>396</v>
      </c>
      <c r="C164" s="14" t="s">
        <v>552</v>
      </c>
      <c r="D164" s="15" t="n">
        <v>1</v>
      </c>
      <c r="E164" s="15" t="s">
        <v>379</v>
      </c>
      <c r="F164" s="15" t="s">
        <v>394</v>
      </c>
      <c r="G164" s="14"/>
    </row>
    <row r="165" customFormat="false" ht="15" hidden="false" customHeight="false" outlineLevel="0" collapsed="false">
      <c r="A165" s="41" t="s">
        <v>350</v>
      </c>
      <c r="B165" s="14" t="s">
        <v>377</v>
      </c>
      <c r="C165" s="14" t="s">
        <v>623</v>
      </c>
      <c r="D165" s="15" t="n">
        <v>1</v>
      </c>
      <c r="E165" s="15" t="s">
        <v>379</v>
      </c>
      <c r="F165" s="15" t="s">
        <v>394</v>
      </c>
      <c r="G165" s="14"/>
    </row>
    <row r="166" customFormat="false" ht="15" hidden="false" customHeight="false" outlineLevel="0" collapsed="false">
      <c r="A166" s="41" t="s">
        <v>350</v>
      </c>
      <c r="B166" s="14" t="s">
        <v>381</v>
      </c>
      <c r="C166" s="14" t="s">
        <v>502</v>
      </c>
      <c r="D166" s="15" t="n">
        <v>1</v>
      </c>
      <c r="E166" s="15" t="s">
        <v>379</v>
      </c>
      <c r="F166" s="15" t="s">
        <v>380</v>
      </c>
      <c r="G166" s="14"/>
    </row>
    <row r="167" customFormat="false" ht="15" hidden="false" customHeight="false" outlineLevel="0" collapsed="false">
      <c r="A167" s="41" t="s">
        <v>350</v>
      </c>
      <c r="B167" s="14" t="s">
        <v>383</v>
      </c>
      <c r="C167" s="14" t="s">
        <v>421</v>
      </c>
      <c r="D167" s="15" t="n">
        <v>14</v>
      </c>
      <c r="E167" s="15" t="s">
        <v>379</v>
      </c>
      <c r="F167" s="15" t="s">
        <v>394</v>
      </c>
      <c r="G167" s="14"/>
    </row>
    <row r="168" customFormat="false" ht="15" hidden="false" customHeight="false" outlineLevel="0" collapsed="false">
      <c r="A168" s="41" t="s">
        <v>350</v>
      </c>
      <c r="B168" s="14" t="s">
        <v>383</v>
      </c>
      <c r="C168" s="14" t="s">
        <v>403</v>
      </c>
      <c r="D168" s="15" t="n">
        <v>10</v>
      </c>
      <c r="E168" s="15" t="s">
        <v>379</v>
      </c>
      <c r="F168" s="15" t="s">
        <v>394</v>
      </c>
      <c r="G168" s="14"/>
    </row>
    <row r="169" customFormat="false" ht="15" hidden="false" customHeight="false" outlineLevel="0" collapsed="false">
      <c r="A169" s="41" t="s">
        <v>350</v>
      </c>
      <c r="B169" s="14" t="s">
        <v>404</v>
      </c>
      <c r="C169" s="14" t="s">
        <v>405</v>
      </c>
      <c r="D169" s="15" t="n">
        <v>1</v>
      </c>
      <c r="E169" s="15" t="s">
        <v>379</v>
      </c>
      <c r="F169" s="15" t="s">
        <v>394</v>
      </c>
      <c r="G169" s="14"/>
    </row>
    <row r="170" customFormat="false" ht="15" hidden="false" customHeight="false" outlineLevel="0" collapsed="false">
      <c r="A170" s="41" t="s">
        <v>350</v>
      </c>
      <c r="B170" s="14" t="s">
        <v>410</v>
      </c>
      <c r="C170" s="14" t="s">
        <v>494</v>
      </c>
      <c r="D170" s="15" t="n">
        <v>1</v>
      </c>
      <c r="E170" s="42" t="s">
        <v>20</v>
      </c>
      <c r="F170" s="15" t="s">
        <v>380</v>
      </c>
      <c r="G170" s="14" t="s">
        <v>495</v>
      </c>
    </row>
    <row r="172" customFormat="false" ht="15" hidden="false" customHeight="false" outlineLevel="0" collapsed="false">
      <c r="A172" s="52" t="s">
        <v>353</v>
      </c>
      <c r="B172" s="29" t="s">
        <v>644</v>
      </c>
      <c r="C172" s="29"/>
      <c r="D172" s="29"/>
      <c r="E172" s="29"/>
      <c r="F172" s="29"/>
      <c r="G172" s="29"/>
    </row>
    <row r="173" customFormat="false" ht="30" hidden="false" customHeight="true" outlineLevel="0" collapsed="false">
      <c r="A173" s="53" t="s">
        <v>353</v>
      </c>
      <c r="B173" s="54" t="s">
        <v>645</v>
      </c>
      <c r="C173" s="54"/>
      <c r="D173" s="54"/>
      <c r="E173" s="54"/>
      <c r="F173" s="54"/>
      <c r="G173" s="54"/>
    </row>
    <row r="174" customFormat="false" ht="15" hidden="false" customHeight="false" outlineLevel="0" collapsed="false">
      <c r="A174" s="41" t="s">
        <v>353</v>
      </c>
      <c r="B174" s="14" t="s">
        <v>404</v>
      </c>
      <c r="C174" s="14" t="s">
        <v>405</v>
      </c>
      <c r="D174" s="15" t="n">
        <v>1</v>
      </c>
      <c r="E174" s="15" t="s">
        <v>379</v>
      </c>
      <c r="F174" s="15" t="s">
        <v>394</v>
      </c>
      <c r="G174" s="14"/>
    </row>
    <row r="175" customFormat="false" ht="15" hidden="false" customHeight="false" outlineLevel="0" collapsed="false">
      <c r="A175" s="41" t="s">
        <v>353</v>
      </c>
      <c r="B175" s="14" t="s">
        <v>404</v>
      </c>
      <c r="C175" s="14" t="s">
        <v>512</v>
      </c>
      <c r="D175" s="15" t="n">
        <v>1</v>
      </c>
      <c r="E175" s="42" t="s">
        <v>20</v>
      </c>
      <c r="F175" s="15" t="s">
        <v>394</v>
      </c>
      <c r="G175" s="14"/>
    </row>
    <row r="176" customFormat="false" ht="15" hidden="false" customHeight="false" outlineLevel="0" collapsed="false">
      <c r="A176" s="41" t="s">
        <v>353</v>
      </c>
      <c r="B176" s="14" t="s">
        <v>404</v>
      </c>
      <c r="C176" s="14" t="s">
        <v>513</v>
      </c>
      <c r="D176" s="15" t="n">
        <v>1</v>
      </c>
      <c r="E176" s="42" t="s">
        <v>20</v>
      </c>
      <c r="F176" s="15" t="s">
        <v>380</v>
      </c>
      <c r="G176" s="14"/>
    </row>
    <row r="178" customFormat="false" ht="15" hidden="false" customHeight="false" outlineLevel="0" collapsed="false">
      <c r="A178" s="52" t="s">
        <v>357</v>
      </c>
      <c r="B178" s="29" t="s">
        <v>646</v>
      </c>
      <c r="C178" s="29"/>
      <c r="D178" s="29"/>
      <c r="E178" s="29"/>
      <c r="F178" s="29"/>
      <c r="G178" s="29"/>
    </row>
    <row r="179" customFormat="false" ht="30" hidden="false" customHeight="true" outlineLevel="0" collapsed="false">
      <c r="A179" s="53" t="s">
        <v>357</v>
      </c>
      <c r="B179" s="54" t="s">
        <v>647</v>
      </c>
      <c r="C179" s="54"/>
      <c r="D179" s="54"/>
      <c r="E179" s="54"/>
      <c r="F179" s="54"/>
      <c r="G179" s="54"/>
    </row>
    <row r="180" customFormat="false" ht="15" hidden="false" customHeight="false" outlineLevel="0" collapsed="false">
      <c r="A180" s="41" t="s">
        <v>357</v>
      </c>
      <c r="B180" s="14" t="s">
        <v>392</v>
      </c>
      <c r="C180" s="14" t="s">
        <v>393</v>
      </c>
      <c r="D180" s="15" t="n">
        <v>1</v>
      </c>
      <c r="E180" s="15" t="s">
        <v>379</v>
      </c>
      <c r="F180" s="15" t="s">
        <v>394</v>
      </c>
      <c r="G180" s="14"/>
    </row>
    <row r="181" customFormat="false" ht="15" hidden="false" customHeight="false" outlineLevel="0" collapsed="false">
      <c r="A181" s="41" t="s">
        <v>357</v>
      </c>
      <c r="B181" s="14" t="s">
        <v>419</v>
      </c>
      <c r="C181" s="14" t="s">
        <v>648</v>
      </c>
      <c r="D181" s="15" t="n">
        <v>1</v>
      </c>
      <c r="E181" s="15" t="s">
        <v>379</v>
      </c>
      <c r="F181" s="15" t="s">
        <v>394</v>
      </c>
      <c r="G181" s="14"/>
    </row>
    <row r="182" customFormat="false" ht="15" hidden="false" customHeight="false" outlineLevel="0" collapsed="false">
      <c r="A182" s="41" t="s">
        <v>357</v>
      </c>
      <c r="B182" s="14" t="s">
        <v>398</v>
      </c>
      <c r="C182" s="14" t="s">
        <v>399</v>
      </c>
      <c r="D182" s="15" t="n">
        <v>2</v>
      </c>
      <c r="E182" s="15" t="s">
        <v>379</v>
      </c>
      <c r="F182" s="15" t="s">
        <v>394</v>
      </c>
      <c r="G182" s="14"/>
    </row>
    <row r="183" customFormat="false" ht="15" hidden="false" customHeight="false" outlineLevel="0" collapsed="false">
      <c r="A183" s="41" t="s">
        <v>357</v>
      </c>
      <c r="B183" s="14" t="s">
        <v>398</v>
      </c>
      <c r="C183" s="14" t="s">
        <v>401</v>
      </c>
      <c r="D183" s="15" t="n">
        <v>2</v>
      </c>
      <c r="E183" s="15" t="s">
        <v>379</v>
      </c>
      <c r="F183" s="15" t="s">
        <v>380</v>
      </c>
      <c r="G183" s="14"/>
    </row>
    <row r="184" customFormat="false" ht="15" hidden="false" customHeight="false" outlineLevel="0" collapsed="false">
      <c r="A184" s="41" t="s">
        <v>357</v>
      </c>
      <c r="B184" s="14" t="s">
        <v>383</v>
      </c>
      <c r="C184" s="14" t="s">
        <v>402</v>
      </c>
      <c r="D184" s="15" t="n">
        <v>1</v>
      </c>
      <c r="E184" s="15" t="s">
        <v>379</v>
      </c>
      <c r="F184" s="15" t="s">
        <v>394</v>
      </c>
      <c r="G184" s="14"/>
    </row>
    <row r="185" customFormat="false" ht="15" hidden="false" customHeight="false" outlineLevel="0" collapsed="false">
      <c r="A185" s="41" t="s">
        <v>357</v>
      </c>
      <c r="B185" s="14" t="s">
        <v>383</v>
      </c>
      <c r="C185" s="14" t="s">
        <v>403</v>
      </c>
      <c r="D185" s="15" t="n">
        <v>8</v>
      </c>
      <c r="E185" s="15" t="s">
        <v>379</v>
      </c>
      <c r="F185" s="15" t="s">
        <v>394</v>
      </c>
      <c r="G185" s="14"/>
    </row>
    <row r="186" customFormat="false" ht="15" hidden="false" customHeight="false" outlineLevel="0" collapsed="false">
      <c r="A186" s="41" t="s">
        <v>357</v>
      </c>
      <c r="B186" s="14" t="s">
        <v>383</v>
      </c>
      <c r="C186" s="14" t="s">
        <v>421</v>
      </c>
      <c r="D186" s="15" t="n">
        <v>5</v>
      </c>
      <c r="E186" s="15" t="s">
        <v>379</v>
      </c>
      <c r="F186" s="15" t="s">
        <v>394</v>
      </c>
      <c r="G186" s="14"/>
    </row>
    <row r="187" customFormat="false" ht="15" hidden="false" customHeight="false" outlineLevel="0" collapsed="false">
      <c r="A187" s="41" t="s">
        <v>357</v>
      </c>
      <c r="B187" s="14" t="s">
        <v>404</v>
      </c>
      <c r="C187" s="14" t="s">
        <v>405</v>
      </c>
      <c r="D187" s="15" t="n">
        <v>1</v>
      </c>
      <c r="E187" s="15" t="s">
        <v>379</v>
      </c>
      <c r="F187" s="15" t="s">
        <v>394</v>
      </c>
      <c r="G187" s="14"/>
    </row>
  </sheetData>
  <autoFilter ref="A4:G189"/>
  <mergeCells count="32">
    <mergeCell ref="B5:G5"/>
    <mergeCell ref="B6:G6"/>
    <mergeCell ref="B19:G19"/>
    <mergeCell ref="B20:G20"/>
    <mergeCell ref="B32:G32"/>
    <mergeCell ref="B33:G33"/>
    <mergeCell ref="B48:G48"/>
    <mergeCell ref="B49:G49"/>
    <mergeCell ref="B61:G61"/>
    <mergeCell ref="B62:G62"/>
    <mergeCell ref="B73:G73"/>
    <mergeCell ref="B74:G74"/>
    <mergeCell ref="B86:G86"/>
    <mergeCell ref="B87:G87"/>
    <mergeCell ref="B100:G100"/>
    <mergeCell ref="B101:G101"/>
    <mergeCell ref="B114:G114"/>
    <mergeCell ref="B115:G115"/>
    <mergeCell ref="B125:G125"/>
    <mergeCell ref="B126:G126"/>
    <mergeCell ref="B136:G136"/>
    <mergeCell ref="B137:G137"/>
    <mergeCell ref="B140:G140"/>
    <mergeCell ref="B141:G141"/>
    <mergeCell ref="B153:G153"/>
    <mergeCell ref="B154:G154"/>
    <mergeCell ref="B157:G157"/>
    <mergeCell ref="B158:G158"/>
    <mergeCell ref="B172:G172"/>
    <mergeCell ref="B173:G173"/>
    <mergeCell ref="B178:G178"/>
    <mergeCell ref="B179:G17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N1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32"/>
    <col collapsed="false" customWidth="true" hidden="false" outlineLevel="0" max="4" min="4" style="0" width="44"/>
    <col collapsed="false" customWidth="true" hidden="false" outlineLevel="0" max="6" min="5" style="0" width="11"/>
    <col collapsed="false" customWidth="true" hidden="false" outlineLevel="0" max="10" min="7" style="0" width="7"/>
    <col collapsed="false" customWidth="true" hidden="false" outlineLevel="0" max="11" min="11" style="0" width="14"/>
    <col collapsed="false" customWidth="true" hidden="false" outlineLevel="0" max="12" min="12" style="0" width="11"/>
    <col collapsed="false" customWidth="true" hidden="false" outlineLevel="0" max="14" min="13" style="0" width="44"/>
  </cols>
  <sheetData>
    <row r="1" customFormat="false" ht="17.35" hidden="false" customHeight="false" outlineLevel="0" collapsed="false">
      <c r="A1" s="7" t="s">
        <v>649</v>
      </c>
    </row>
    <row r="2" customFormat="false" ht="15" hidden="false" customHeight="false" outlineLevel="0" collapsed="false">
      <c r="A2" s="2" t="s">
        <v>650</v>
      </c>
    </row>
    <row r="4" customFormat="false" ht="42" hidden="false" customHeight="true" outlineLevel="0" collapsed="false">
      <c r="A4" s="8" t="s">
        <v>651</v>
      </c>
      <c r="B4" s="8" t="s">
        <v>369</v>
      </c>
      <c r="C4" s="8" t="s">
        <v>370</v>
      </c>
      <c r="D4" s="8" t="s">
        <v>652</v>
      </c>
      <c r="E4" s="8" t="s">
        <v>373</v>
      </c>
      <c r="F4" s="8" t="s">
        <v>653</v>
      </c>
      <c r="G4" s="8" t="s">
        <v>654</v>
      </c>
      <c r="H4" s="8" t="s">
        <v>655</v>
      </c>
      <c r="I4" s="8" t="s">
        <v>656</v>
      </c>
      <c r="J4" s="8" t="s">
        <v>657</v>
      </c>
      <c r="K4" s="8" t="s">
        <v>658</v>
      </c>
      <c r="L4" s="8" t="s">
        <v>659</v>
      </c>
      <c r="M4" s="8" t="s">
        <v>660</v>
      </c>
      <c r="N4" s="8" t="s">
        <v>661</v>
      </c>
    </row>
    <row r="5" customFormat="false" ht="15" hidden="false" customHeight="false" outlineLevel="0" collapsed="false">
      <c r="A5" s="4"/>
      <c r="B5" s="55" t="s">
        <v>662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</row>
    <row r="6" customFormat="false" ht="57.45" hidden="false" customHeight="false" outlineLevel="0" collapsed="false">
      <c r="A6" s="14" t="n">
        <v>1</v>
      </c>
      <c r="B6" s="14" t="s">
        <v>392</v>
      </c>
      <c r="C6" s="17" t="s">
        <v>393</v>
      </c>
      <c r="D6" s="14" t="s">
        <v>663</v>
      </c>
      <c r="E6" s="15" t="s">
        <v>394</v>
      </c>
      <c r="F6" s="56" t="n">
        <f aca="false">COUNTIF('Little Explorers 5-7'!$C:$C,$C6)+COUNTIF('Junior Makers 8-11'!$C:$C,$C6)+COUNTIF('Young Innovators 12-14'!$C:$C,$C6)+COUNTIF('Tech Leaders 15-17'!$C:$C,$C6)</f>
        <v>34</v>
      </c>
      <c r="G6" s="57" t="n">
        <f aca="false">COUNTIF('Little Explorers 5-7'!$C:$C,$C6)</f>
        <v>9</v>
      </c>
      <c r="H6" s="57" t="n">
        <f aca="false">COUNTIF('Junior Makers 8-11'!$C:$C,$C6)</f>
        <v>12</v>
      </c>
      <c r="I6" s="57" t="n">
        <f aca="false">COUNTIF('Young Innovators 12-14'!$C:$C,$C6)</f>
        <v>9</v>
      </c>
      <c r="J6" s="57" t="n">
        <f aca="false">COUNTIF('Tech Leaders 15-17'!$C:$C,$C6)</f>
        <v>4</v>
      </c>
      <c r="K6" s="58" t="n">
        <f aca="false">MAX(_xlfn.MAXIFS('Little Explorers 5-7'!$D:$D,'Little Explorers 5-7'!$C:$C,$C6,'Little Explorers 5-7'!$E:$E,"Per group"),_xlfn.MAXIFS('Junior Makers 8-11'!$D:$D,'Junior Makers 8-11'!$C:$C,$C6,'Junior Makers 8-11'!$E:$E,"Per group"),_xlfn.MAXIFS('Young Innovators 12-14'!$D:$D,'Young Innovators 12-14'!$C:$C,$C6,'Young Innovators 12-14'!$E:$E,"Per group"),_xlfn.MAXIFS('Tech Leaders 15-17'!$D:$D,'Tech Leaders 15-17'!$C:$C,$C6,'Tech Leaders 15-17'!$E:$E,"Per group"))</f>
        <v>2</v>
      </c>
      <c r="L6" s="59" t="n">
        <f aca="false">MAX(_xlfn.MAXIFS('Little Explorers 5-7'!$D:$D,'Little Explorers 5-7'!$C:$C,$C6,'Little Explorers 5-7'!$E:$E,"Per class"),_xlfn.MAXIFS('Junior Makers 8-11'!$D:$D,'Junior Makers 8-11'!$C:$C,$C6,'Junior Makers 8-11'!$E:$E,"Per class"),_xlfn.MAXIFS('Young Innovators 12-14'!$D:$D,'Young Innovators 12-14'!$C:$C,$C6,'Young Innovators 12-14'!$E:$E,"Per class"),_xlfn.MAXIFS('Tech Leaders 15-17'!$D:$D,'Tech Leaders 15-17'!$C:$C,$C6,'Tech Leaders 15-17'!$E:$E,"Per class"))</f>
        <v>0</v>
      </c>
      <c r="M6" s="14" t="s">
        <v>664</v>
      </c>
      <c r="N6" s="14" t="s">
        <v>665</v>
      </c>
    </row>
    <row r="7" customFormat="false" ht="23.85" hidden="false" customHeight="false" outlineLevel="0" collapsed="false">
      <c r="A7" s="14" t="n">
        <v>2</v>
      </c>
      <c r="B7" s="14" t="s">
        <v>392</v>
      </c>
      <c r="C7" s="17" t="s">
        <v>587</v>
      </c>
      <c r="D7" s="14" t="s">
        <v>666</v>
      </c>
      <c r="E7" s="15" t="s">
        <v>394</v>
      </c>
      <c r="F7" s="56" t="n">
        <f aca="false">COUNTIF('Little Explorers 5-7'!$C:$C,$C7)+COUNTIF('Junior Makers 8-11'!$C:$C,$C7)+COUNTIF('Young Innovators 12-14'!$C:$C,$C7)+COUNTIF('Tech Leaders 15-17'!$C:$C,$C7)</f>
        <v>10</v>
      </c>
      <c r="G7" s="57" t="n">
        <f aca="false">COUNTIF('Little Explorers 5-7'!$C:$C,$C7)</f>
        <v>0</v>
      </c>
      <c r="H7" s="57" t="n">
        <f aca="false">COUNTIF('Junior Makers 8-11'!$C:$C,$C7)</f>
        <v>0</v>
      </c>
      <c r="I7" s="57" t="n">
        <f aca="false">COUNTIF('Young Innovators 12-14'!$C:$C,$C7)</f>
        <v>1</v>
      </c>
      <c r="J7" s="57" t="n">
        <f aca="false">COUNTIF('Tech Leaders 15-17'!$C:$C,$C7)</f>
        <v>9</v>
      </c>
      <c r="K7" s="58" t="n">
        <f aca="false">MAX(_xlfn.MAXIFS('Little Explorers 5-7'!$D:$D,'Little Explorers 5-7'!$C:$C,$C7,'Little Explorers 5-7'!$E:$E,"Per group"),_xlfn.MAXIFS('Junior Makers 8-11'!$D:$D,'Junior Makers 8-11'!$C:$C,$C7,'Junior Makers 8-11'!$E:$E,"Per group"),_xlfn.MAXIFS('Young Innovators 12-14'!$D:$D,'Young Innovators 12-14'!$C:$C,$C7,'Young Innovators 12-14'!$E:$E,"Per group"),_xlfn.MAXIFS('Tech Leaders 15-17'!$D:$D,'Tech Leaders 15-17'!$C:$C,$C7,'Tech Leaders 15-17'!$E:$E,"Per group"))</f>
        <v>4</v>
      </c>
      <c r="L7" s="59" t="n">
        <f aca="false">MAX(_xlfn.MAXIFS('Little Explorers 5-7'!$D:$D,'Little Explorers 5-7'!$C:$C,$C7,'Little Explorers 5-7'!$E:$E,"Per class"),_xlfn.MAXIFS('Junior Makers 8-11'!$D:$D,'Junior Makers 8-11'!$C:$C,$C7,'Junior Makers 8-11'!$E:$E,"Per class"),_xlfn.MAXIFS('Young Innovators 12-14'!$D:$D,'Young Innovators 12-14'!$C:$C,$C7,'Young Innovators 12-14'!$E:$E,"Per class"),_xlfn.MAXIFS('Tech Leaders 15-17'!$D:$D,'Tech Leaders 15-17'!$C:$C,$C7,'Tech Leaders 15-17'!$E:$E,"Per class"))</f>
        <v>0</v>
      </c>
      <c r="M7" s="14" t="s">
        <v>667</v>
      </c>
      <c r="N7" s="14" t="s">
        <v>668</v>
      </c>
    </row>
    <row r="8" customFormat="false" ht="23.85" hidden="false" customHeight="false" outlineLevel="0" collapsed="false">
      <c r="A8" s="14" t="n">
        <v>3</v>
      </c>
      <c r="B8" s="14" t="s">
        <v>392</v>
      </c>
      <c r="C8" s="17" t="s">
        <v>455</v>
      </c>
      <c r="D8" s="14" t="s">
        <v>669</v>
      </c>
      <c r="E8" s="15" t="s">
        <v>394</v>
      </c>
      <c r="F8" s="56" t="n">
        <f aca="false">COUNTIF('Little Explorers 5-7'!$C:$C,$C8)+COUNTIF('Junior Makers 8-11'!$C:$C,$C8)+COUNTIF('Young Innovators 12-14'!$C:$C,$C8)+COUNTIF('Tech Leaders 15-17'!$C:$C,$C8)</f>
        <v>2</v>
      </c>
      <c r="G8" s="57" t="n">
        <f aca="false">COUNTIF('Little Explorers 5-7'!$C:$C,$C8)</f>
        <v>2</v>
      </c>
      <c r="H8" s="57" t="n">
        <f aca="false">COUNTIF('Junior Makers 8-11'!$C:$C,$C8)</f>
        <v>0</v>
      </c>
      <c r="I8" s="57" t="n">
        <f aca="false">COUNTIF('Young Innovators 12-14'!$C:$C,$C8)</f>
        <v>0</v>
      </c>
      <c r="J8" s="57" t="n">
        <f aca="false">COUNTIF('Tech Leaders 15-17'!$C:$C,$C8)</f>
        <v>0</v>
      </c>
      <c r="K8" s="58" t="n">
        <f aca="false">MAX(_xlfn.MAXIFS('Little Explorers 5-7'!$D:$D,'Little Explorers 5-7'!$C:$C,$C8,'Little Explorers 5-7'!$E:$E,"Per group"),_xlfn.MAXIFS('Junior Makers 8-11'!$D:$D,'Junior Makers 8-11'!$C:$C,$C8,'Junior Makers 8-11'!$E:$E,"Per group"),_xlfn.MAXIFS('Young Innovators 12-14'!$D:$D,'Young Innovators 12-14'!$C:$C,$C8,'Young Innovators 12-14'!$E:$E,"Per group"),_xlfn.MAXIFS('Tech Leaders 15-17'!$D:$D,'Tech Leaders 15-17'!$C:$C,$C8,'Tech Leaders 15-17'!$E:$E,"Per group"))</f>
        <v>1</v>
      </c>
      <c r="L8" s="59" t="n">
        <f aca="false">MAX(_xlfn.MAXIFS('Little Explorers 5-7'!$D:$D,'Little Explorers 5-7'!$C:$C,$C8,'Little Explorers 5-7'!$E:$E,"Per class"),_xlfn.MAXIFS('Junior Makers 8-11'!$D:$D,'Junior Makers 8-11'!$C:$C,$C8,'Junior Makers 8-11'!$E:$E,"Per class"),_xlfn.MAXIFS('Young Innovators 12-14'!$D:$D,'Young Innovators 12-14'!$C:$C,$C8,'Young Innovators 12-14'!$E:$E,"Per class"),_xlfn.MAXIFS('Tech Leaders 15-17'!$D:$D,'Tech Leaders 15-17'!$C:$C,$C8,'Tech Leaders 15-17'!$E:$E,"Per class"))</f>
        <v>0</v>
      </c>
      <c r="M8" s="14" t="s">
        <v>670</v>
      </c>
      <c r="N8" s="14" t="s">
        <v>671</v>
      </c>
    </row>
    <row r="9" customFormat="false" ht="15" hidden="false" customHeight="false" outlineLevel="0" collapsed="false">
      <c r="A9" s="4"/>
      <c r="B9" s="55" t="s">
        <v>672</v>
      </c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</row>
    <row r="10" customFormat="false" ht="23.85" hidden="false" customHeight="false" outlineLevel="0" collapsed="false">
      <c r="A10" s="14" t="n">
        <v>4</v>
      </c>
      <c r="B10" s="14" t="s">
        <v>447</v>
      </c>
      <c r="C10" s="17" t="s">
        <v>517</v>
      </c>
      <c r="D10" s="14" t="s">
        <v>673</v>
      </c>
      <c r="E10" s="15" t="s">
        <v>394</v>
      </c>
      <c r="F10" s="56" t="n">
        <f aca="false">COUNTIF('Little Explorers 5-7'!$C:$C,$C10)+COUNTIF('Junior Makers 8-11'!$C:$C,$C10)+COUNTIF('Young Innovators 12-14'!$C:$C,$C10)+COUNTIF('Tech Leaders 15-17'!$C:$C,$C10)</f>
        <v>5</v>
      </c>
      <c r="G10" s="57" t="n">
        <f aca="false">COUNTIF('Little Explorers 5-7'!$C:$C,$C10)</f>
        <v>0</v>
      </c>
      <c r="H10" s="57" t="n">
        <f aca="false">COUNTIF('Junior Makers 8-11'!$C:$C,$C10)</f>
        <v>1</v>
      </c>
      <c r="I10" s="57" t="n">
        <f aca="false">COUNTIF('Young Innovators 12-14'!$C:$C,$C10)</f>
        <v>2</v>
      </c>
      <c r="J10" s="57" t="n">
        <f aca="false">COUNTIF('Tech Leaders 15-17'!$C:$C,$C10)</f>
        <v>2</v>
      </c>
      <c r="K10" s="58" t="n">
        <f aca="false">MAX(_xlfn.MAXIFS('Little Explorers 5-7'!$D:$D,'Little Explorers 5-7'!$C:$C,$C10,'Little Explorers 5-7'!$E:$E,"Per group"),_xlfn.MAXIFS('Junior Makers 8-11'!$D:$D,'Junior Makers 8-11'!$C:$C,$C10,'Junior Makers 8-11'!$E:$E,"Per group"),_xlfn.MAXIFS('Young Innovators 12-14'!$D:$D,'Young Innovators 12-14'!$C:$C,$C10,'Young Innovators 12-14'!$E:$E,"Per group"),_xlfn.MAXIFS('Tech Leaders 15-17'!$D:$D,'Tech Leaders 15-17'!$C:$C,$C10,'Tech Leaders 15-17'!$E:$E,"Per group"))</f>
        <v>1</v>
      </c>
      <c r="L10" s="59" t="n">
        <f aca="false">MAX(_xlfn.MAXIFS('Little Explorers 5-7'!$D:$D,'Little Explorers 5-7'!$C:$C,$C10,'Little Explorers 5-7'!$E:$E,"Per class"),_xlfn.MAXIFS('Junior Makers 8-11'!$D:$D,'Junior Makers 8-11'!$C:$C,$C10,'Junior Makers 8-11'!$E:$E,"Per class"),_xlfn.MAXIFS('Young Innovators 12-14'!$D:$D,'Young Innovators 12-14'!$C:$C,$C10,'Young Innovators 12-14'!$E:$E,"Per class"),_xlfn.MAXIFS('Tech Leaders 15-17'!$D:$D,'Tech Leaders 15-17'!$C:$C,$C10,'Tech Leaders 15-17'!$E:$E,"Per class"))</f>
        <v>0</v>
      </c>
      <c r="M10" s="14" t="s">
        <v>674</v>
      </c>
      <c r="N10" s="14" t="s">
        <v>675</v>
      </c>
    </row>
    <row r="11" customFormat="false" ht="23.85" hidden="false" customHeight="false" outlineLevel="0" collapsed="false">
      <c r="A11" s="14" t="n">
        <v>5</v>
      </c>
      <c r="B11" s="14" t="s">
        <v>447</v>
      </c>
      <c r="C11" s="17" t="s">
        <v>448</v>
      </c>
      <c r="D11" s="14" t="s">
        <v>676</v>
      </c>
      <c r="E11" s="60" t="s">
        <v>380</v>
      </c>
      <c r="F11" s="56" t="n">
        <f aca="false">COUNTIF('Little Explorers 5-7'!$C:$C,$C11)+COUNTIF('Junior Makers 8-11'!$C:$C,$C11)+COUNTIF('Young Innovators 12-14'!$C:$C,$C11)+COUNTIF('Tech Leaders 15-17'!$C:$C,$C11)</f>
        <v>1</v>
      </c>
      <c r="G11" s="57" t="n">
        <f aca="false">COUNTIF('Little Explorers 5-7'!$C:$C,$C11)</f>
        <v>1</v>
      </c>
      <c r="H11" s="57" t="n">
        <f aca="false">COUNTIF('Junior Makers 8-11'!$C:$C,$C11)</f>
        <v>0</v>
      </c>
      <c r="I11" s="57" t="n">
        <f aca="false">COUNTIF('Young Innovators 12-14'!$C:$C,$C11)</f>
        <v>0</v>
      </c>
      <c r="J11" s="57" t="n">
        <f aca="false">COUNTIF('Tech Leaders 15-17'!$C:$C,$C11)</f>
        <v>0</v>
      </c>
      <c r="K11" s="58" t="n">
        <f aca="false">MAX(_xlfn.MAXIFS('Little Explorers 5-7'!$D:$D,'Little Explorers 5-7'!$C:$C,$C11,'Little Explorers 5-7'!$E:$E,"Per group"),_xlfn.MAXIFS('Junior Makers 8-11'!$D:$D,'Junior Makers 8-11'!$C:$C,$C11,'Junior Makers 8-11'!$E:$E,"Per group"),_xlfn.MAXIFS('Young Innovators 12-14'!$D:$D,'Young Innovators 12-14'!$C:$C,$C11,'Young Innovators 12-14'!$E:$E,"Per group"),_xlfn.MAXIFS('Tech Leaders 15-17'!$D:$D,'Tech Leaders 15-17'!$C:$C,$C11,'Tech Leaders 15-17'!$E:$E,"Per group"))</f>
        <v>1</v>
      </c>
      <c r="L11" s="59" t="n">
        <f aca="false">MAX(_xlfn.MAXIFS('Little Explorers 5-7'!$D:$D,'Little Explorers 5-7'!$C:$C,$C11,'Little Explorers 5-7'!$E:$E,"Per class"),_xlfn.MAXIFS('Junior Makers 8-11'!$D:$D,'Junior Makers 8-11'!$C:$C,$C11,'Junior Makers 8-11'!$E:$E,"Per class"),_xlfn.MAXIFS('Young Innovators 12-14'!$D:$D,'Young Innovators 12-14'!$C:$C,$C11,'Young Innovators 12-14'!$E:$E,"Per class"),_xlfn.MAXIFS('Tech Leaders 15-17'!$D:$D,'Tech Leaders 15-17'!$C:$C,$C11,'Tech Leaders 15-17'!$E:$E,"Per class"))</f>
        <v>0</v>
      </c>
      <c r="M11" s="14" t="s">
        <v>107</v>
      </c>
      <c r="N11" s="14"/>
    </row>
    <row r="12" customFormat="false" ht="15" hidden="false" customHeight="false" outlineLevel="0" collapsed="false">
      <c r="A12" s="4"/>
      <c r="B12" s="55" t="s">
        <v>677</v>
      </c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</row>
    <row r="13" customFormat="false" ht="15" hidden="false" customHeight="false" outlineLevel="0" collapsed="false">
      <c r="A13" s="14" t="n">
        <v>6</v>
      </c>
      <c r="B13" s="14" t="s">
        <v>419</v>
      </c>
      <c r="C13" s="17" t="s">
        <v>441</v>
      </c>
      <c r="D13" s="14" t="s">
        <v>678</v>
      </c>
      <c r="E13" s="15" t="s">
        <v>394</v>
      </c>
      <c r="F13" s="56" t="n">
        <f aca="false">COUNTIF('Little Explorers 5-7'!$C:$C,$C13)+COUNTIF('Junior Makers 8-11'!$C:$C,$C13)+COUNTIF('Young Innovators 12-14'!$C:$C,$C13)+COUNTIF('Tech Leaders 15-17'!$C:$C,$C13)</f>
        <v>5</v>
      </c>
      <c r="G13" s="57" t="n">
        <f aca="false">COUNTIF('Little Explorers 5-7'!$C:$C,$C13)</f>
        <v>1</v>
      </c>
      <c r="H13" s="57" t="n">
        <f aca="false">COUNTIF('Junior Makers 8-11'!$C:$C,$C13)</f>
        <v>1</v>
      </c>
      <c r="I13" s="57" t="n">
        <f aca="false">COUNTIF('Young Innovators 12-14'!$C:$C,$C13)</f>
        <v>1</v>
      </c>
      <c r="J13" s="57" t="n">
        <f aca="false">COUNTIF('Tech Leaders 15-17'!$C:$C,$C13)</f>
        <v>2</v>
      </c>
      <c r="K13" s="58" t="n">
        <f aca="false">MAX(_xlfn.MAXIFS('Little Explorers 5-7'!$D:$D,'Little Explorers 5-7'!$C:$C,$C13,'Little Explorers 5-7'!$E:$E,"Per group"),_xlfn.MAXIFS('Junior Makers 8-11'!$D:$D,'Junior Makers 8-11'!$C:$C,$C13,'Junior Makers 8-11'!$E:$E,"Per group"),_xlfn.MAXIFS('Young Innovators 12-14'!$D:$D,'Young Innovators 12-14'!$C:$C,$C13,'Young Innovators 12-14'!$E:$E,"Per group"),_xlfn.MAXIFS('Tech Leaders 15-17'!$D:$D,'Tech Leaders 15-17'!$C:$C,$C13,'Tech Leaders 15-17'!$E:$E,"Per group"))</f>
        <v>3</v>
      </c>
      <c r="L13" s="59" t="n">
        <f aca="false">MAX(_xlfn.MAXIFS('Little Explorers 5-7'!$D:$D,'Little Explorers 5-7'!$C:$C,$C13,'Little Explorers 5-7'!$E:$E,"Per class"),_xlfn.MAXIFS('Junior Makers 8-11'!$D:$D,'Junior Makers 8-11'!$C:$C,$C13,'Junior Makers 8-11'!$E:$E,"Per class"),_xlfn.MAXIFS('Young Innovators 12-14'!$D:$D,'Young Innovators 12-14'!$C:$C,$C13,'Young Innovators 12-14'!$E:$E,"Per class"),_xlfn.MAXIFS('Tech Leaders 15-17'!$D:$D,'Tech Leaders 15-17'!$C:$C,$C13,'Tech Leaders 15-17'!$E:$E,"Per class"))</f>
        <v>0</v>
      </c>
      <c r="M13" s="14" t="s">
        <v>679</v>
      </c>
      <c r="N13" s="14" t="s">
        <v>680</v>
      </c>
    </row>
    <row r="14" customFormat="false" ht="15" hidden="false" customHeight="false" outlineLevel="0" collapsed="false">
      <c r="A14" s="14" t="n">
        <v>7</v>
      </c>
      <c r="B14" s="14" t="s">
        <v>419</v>
      </c>
      <c r="C14" s="17" t="s">
        <v>518</v>
      </c>
      <c r="D14" s="14" t="s">
        <v>681</v>
      </c>
      <c r="E14" s="15" t="s">
        <v>394</v>
      </c>
      <c r="F14" s="56" t="n">
        <f aca="false">COUNTIF('Little Explorers 5-7'!$C:$C,$C14)+COUNTIF('Junior Makers 8-11'!$C:$C,$C14)+COUNTIF('Young Innovators 12-14'!$C:$C,$C14)+COUNTIF('Tech Leaders 15-17'!$C:$C,$C14)</f>
        <v>1</v>
      </c>
      <c r="G14" s="57" t="n">
        <f aca="false">COUNTIF('Little Explorers 5-7'!$C:$C,$C14)</f>
        <v>0</v>
      </c>
      <c r="H14" s="57" t="n">
        <f aca="false">COUNTIF('Junior Makers 8-11'!$C:$C,$C14)</f>
        <v>1</v>
      </c>
      <c r="I14" s="57" t="n">
        <f aca="false">COUNTIF('Young Innovators 12-14'!$C:$C,$C14)</f>
        <v>0</v>
      </c>
      <c r="J14" s="57" t="n">
        <f aca="false">COUNTIF('Tech Leaders 15-17'!$C:$C,$C14)</f>
        <v>0</v>
      </c>
      <c r="K14" s="58" t="n">
        <f aca="false">MAX(_xlfn.MAXIFS('Little Explorers 5-7'!$D:$D,'Little Explorers 5-7'!$C:$C,$C14,'Little Explorers 5-7'!$E:$E,"Per group"),_xlfn.MAXIFS('Junior Makers 8-11'!$D:$D,'Junior Makers 8-11'!$C:$C,$C14,'Junior Makers 8-11'!$E:$E,"Per group"),_xlfn.MAXIFS('Young Innovators 12-14'!$D:$D,'Young Innovators 12-14'!$C:$C,$C14,'Young Innovators 12-14'!$E:$E,"Per group"),_xlfn.MAXIFS('Tech Leaders 15-17'!$D:$D,'Tech Leaders 15-17'!$C:$C,$C14,'Tech Leaders 15-17'!$E:$E,"Per group"))</f>
        <v>2</v>
      </c>
      <c r="L14" s="59" t="n">
        <f aca="false">MAX(_xlfn.MAXIFS('Little Explorers 5-7'!$D:$D,'Little Explorers 5-7'!$C:$C,$C14,'Little Explorers 5-7'!$E:$E,"Per class"),_xlfn.MAXIFS('Junior Makers 8-11'!$D:$D,'Junior Makers 8-11'!$C:$C,$C14,'Junior Makers 8-11'!$E:$E,"Per class"),_xlfn.MAXIFS('Young Innovators 12-14'!$D:$D,'Young Innovators 12-14'!$C:$C,$C14,'Young Innovators 12-14'!$E:$E,"Per class"),_xlfn.MAXIFS('Tech Leaders 15-17'!$D:$D,'Tech Leaders 15-17'!$C:$C,$C14,'Tech Leaders 15-17'!$E:$E,"Per class"))</f>
        <v>0</v>
      </c>
      <c r="M14" s="14" t="s">
        <v>197</v>
      </c>
      <c r="N14" s="14"/>
    </row>
    <row r="15" customFormat="false" ht="15" hidden="false" customHeight="false" outlineLevel="0" collapsed="false">
      <c r="A15" s="14" t="n">
        <v>8</v>
      </c>
      <c r="B15" s="14" t="s">
        <v>419</v>
      </c>
      <c r="C15" s="17" t="s">
        <v>420</v>
      </c>
      <c r="D15" s="14" t="s">
        <v>682</v>
      </c>
      <c r="E15" s="15" t="s">
        <v>394</v>
      </c>
      <c r="F15" s="56" t="n">
        <f aca="false">COUNTIF('Little Explorers 5-7'!$C:$C,$C15)+COUNTIF('Junior Makers 8-11'!$C:$C,$C15)+COUNTIF('Young Innovators 12-14'!$C:$C,$C15)+COUNTIF('Tech Leaders 15-17'!$C:$C,$C15)</f>
        <v>7</v>
      </c>
      <c r="G15" s="57" t="n">
        <f aca="false">COUNTIF('Little Explorers 5-7'!$C:$C,$C15)</f>
        <v>1</v>
      </c>
      <c r="H15" s="57" t="n">
        <f aca="false">COUNTIF('Junior Makers 8-11'!$C:$C,$C15)</f>
        <v>2</v>
      </c>
      <c r="I15" s="57" t="n">
        <f aca="false">COUNTIF('Young Innovators 12-14'!$C:$C,$C15)</f>
        <v>1</v>
      </c>
      <c r="J15" s="57" t="n">
        <f aca="false">COUNTIF('Tech Leaders 15-17'!$C:$C,$C15)</f>
        <v>3</v>
      </c>
      <c r="K15" s="58" t="n">
        <f aca="false">MAX(_xlfn.MAXIFS('Little Explorers 5-7'!$D:$D,'Little Explorers 5-7'!$C:$C,$C15,'Little Explorers 5-7'!$E:$E,"Per group"),_xlfn.MAXIFS('Junior Makers 8-11'!$D:$D,'Junior Makers 8-11'!$C:$C,$C15,'Junior Makers 8-11'!$E:$E,"Per group"),_xlfn.MAXIFS('Young Innovators 12-14'!$D:$D,'Young Innovators 12-14'!$C:$C,$C15,'Young Innovators 12-14'!$E:$E,"Per group"),_xlfn.MAXIFS('Tech Leaders 15-17'!$D:$D,'Tech Leaders 15-17'!$C:$C,$C15,'Tech Leaders 15-17'!$E:$E,"Per group"))</f>
        <v>2</v>
      </c>
      <c r="L15" s="59" t="n">
        <f aca="false">MAX(_xlfn.MAXIFS('Little Explorers 5-7'!$D:$D,'Little Explorers 5-7'!$C:$C,$C15,'Little Explorers 5-7'!$E:$E,"Per class"),_xlfn.MAXIFS('Junior Makers 8-11'!$D:$D,'Junior Makers 8-11'!$C:$C,$C15,'Junior Makers 8-11'!$E:$E,"Per class"),_xlfn.MAXIFS('Young Innovators 12-14'!$D:$D,'Young Innovators 12-14'!$C:$C,$C15,'Young Innovators 12-14'!$E:$E,"Per class"),_xlfn.MAXIFS('Tech Leaders 15-17'!$D:$D,'Tech Leaders 15-17'!$C:$C,$C15,'Tech Leaders 15-17'!$E:$E,"Per class"))</f>
        <v>0</v>
      </c>
      <c r="M15" s="14" t="s">
        <v>683</v>
      </c>
      <c r="N15" s="14"/>
    </row>
    <row r="16" customFormat="false" ht="23.85" hidden="false" customHeight="false" outlineLevel="0" collapsed="false">
      <c r="A16" s="14" t="n">
        <v>9</v>
      </c>
      <c r="B16" s="14" t="s">
        <v>419</v>
      </c>
      <c r="C16" s="17" t="s">
        <v>424</v>
      </c>
      <c r="D16" s="14" t="s">
        <v>684</v>
      </c>
      <c r="E16" s="15" t="s">
        <v>394</v>
      </c>
      <c r="F16" s="56" t="n">
        <f aca="false">COUNTIF('Little Explorers 5-7'!$C:$C,$C16)+COUNTIF('Junior Makers 8-11'!$C:$C,$C16)+COUNTIF('Young Innovators 12-14'!$C:$C,$C16)+COUNTIF('Tech Leaders 15-17'!$C:$C,$C16)</f>
        <v>10</v>
      </c>
      <c r="G16" s="57" t="n">
        <f aca="false">COUNTIF('Little Explorers 5-7'!$C:$C,$C16)</f>
        <v>1</v>
      </c>
      <c r="H16" s="57" t="n">
        <f aca="false">COUNTIF('Junior Makers 8-11'!$C:$C,$C16)</f>
        <v>2</v>
      </c>
      <c r="I16" s="57" t="n">
        <f aca="false">COUNTIF('Young Innovators 12-14'!$C:$C,$C16)</f>
        <v>1</v>
      </c>
      <c r="J16" s="57" t="n">
        <f aca="false">COUNTIF('Tech Leaders 15-17'!$C:$C,$C16)</f>
        <v>6</v>
      </c>
      <c r="K16" s="58" t="n">
        <f aca="false">MAX(_xlfn.MAXIFS('Little Explorers 5-7'!$D:$D,'Little Explorers 5-7'!$C:$C,$C16,'Little Explorers 5-7'!$E:$E,"Per group"),_xlfn.MAXIFS('Junior Makers 8-11'!$D:$D,'Junior Makers 8-11'!$C:$C,$C16,'Junior Makers 8-11'!$E:$E,"Per group"),_xlfn.MAXIFS('Young Innovators 12-14'!$D:$D,'Young Innovators 12-14'!$C:$C,$C16,'Young Innovators 12-14'!$E:$E,"Per group"),_xlfn.MAXIFS('Tech Leaders 15-17'!$D:$D,'Tech Leaders 15-17'!$C:$C,$C16,'Tech Leaders 15-17'!$E:$E,"Per group"))</f>
        <v>1</v>
      </c>
      <c r="L16" s="59" t="n">
        <f aca="false">MAX(_xlfn.MAXIFS('Little Explorers 5-7'!$D:$D,'Little Explorers 5-7'!$C:$C,$C16,'Little Explorers 5-7'!$E:$E,"Per class"),_xlfn.MAXIFS('Junior Makers 8-11'!$D:$D,'Junior Makers 8-11'!$C:$C,$C16,'Junior Makers 8-11'!$E:$E,"Per class"),_xlfn.MAXIFS('Young Innovators 12-14'!$D:$D,'Young Innovators 12-14'!$C:$C,$C16,'Young Innovators 12-14'!$E:$E,"Per class"),_xlfn.MAXIFS('Tech Leaders 15-17'!$D:$D,'Tech Leaders 15-17'!$C:$C,$C16,'Tech Leaders 15-17'!$E:$E,"Per class"))</f>
        <v>0</v>
      </c>
      <c r="M16" s="14" t="s">
        <v>685</v>
      </c>
      <c r="N16" s="14" t="s">
        <v>686</v>
      </c>
    </row>
    <row r="17" customFormat="false" ht="15" hidden="false" customHeight="false" outlineLevel="0" collapsed="false">
      <c r="A17" s="14" t="n">
        <v>10</v>
      </c>
      <c r="B17" s="14" t="s">
        <v>419</v>
      </c>
      <c r="C17" s="17" t="s">
        <v>492</v>
      </c>
      <c r="D17" s="14" t="s">
        <v>687</v>
      </c>
      <c r="E17" s="15" t="s">
        <v>394</v>
      </c>
      <c r="F17" s="56" t="n">
        <f aca="false">COUNTIF('Little Explorers 5-7'!$C:$C,$C17)+COUNTIF('Junior Makers 8-11'!$C:$C,$C17)+COUNTIF('Young Innovators 12-14'!$C:$C,$C17)+COUNTIF('Tech Leaders 15-17'!$C:$C,$C17)</f>
        <v>1</v>
      </c>
      <c r="G17" s="57" t="n">
        <f aca="false">COUNTIF('Little Explorers 5-7'!$C:$C,$C17)</f>
        <v>0</v>
      </c>
      <c r="H17" s="57" t="n">
        <f aca="false">COUNTIF('Junior Makers 8-11'!$C:$C,$C17)</f>
        <v>1</v>
      </c>
      <c r="I17" s="57" t="n">
        <f aca="false">COUNTIF('Young Innovators 12-14'!$C:$C,$C17)</f>
        <v>0</v>
      </c>
      <c r="J17" s="57" t="n">
        <f aca="false">COUNTIF('Tech Leaders 15-17'!$C:$C,$C17)</f>
        <v>0</v>
      </c>
      <c r="K17" s="58" t="n">
        <f aca="false">MAX(_xlfn.MAXIFS('Little Explorers 5-7'!$D:$D,'Little Explorers 5-7'!$C:$C,$C17,'Little Explorers 5-7'!$E:$E,"Per group"),_xlfn.MAXIFS('Junior Makers 8-11'!$D:$D,'Junior Makers 8-11'!$C:$C,$C17,'Junior Makers 8-11'!$E:$E,"Per group"),_xlfn.MAXIFS('Young Innovators 12-14'!$D:$D,'Young Innovators 12-14'!$C:$C,$C17,'Young Innovators 12-14'!$E:$E,"Per group"),_xlfn.MAXIFS('Tech Leaders 15-17'!$D:$D,'Tech Leaders 15-17'!$C:$C,$C17,'Tech Leaders 15-17'!$E:$E,"Per group"))</f>
        <v>1</v>
      </c>
      <c r="L17" s="59" t="n">
        <f aca="false">MAX(_xlfn.MAXIFS('Little Explorers 5-7'!$D:$D,'Little Explorers 5-7'!$C:$C,$C17,'Little Explorers 5-7'!$E:$E,"Per class"),_xlfn.MAXIFS('Junior Makers 8-11'!$D:$D,'Junior Makers 8-11'!$C:$C,$C17,'Junior Makers 8-11'!$E:$E,"Per class"),_xlfn.MAXIFS('Young Innovators 12-14'!$D:$D,'Young Innovators 12-14'!$C:$C,$C17,'Young Innovators 12-14'!$E:$E,"Per class"),_xlfn.MAXIFS('Tech Leaders 15-17'!$D:$D,'Tech Leaders 15-17'!$C:$C,$C17,'Tech Leaders 15-17'!$E:$E,"Per class"))</f>
        <v>0</v>
      </c>
      <c r="M17" s="14" t="s">
        <v>177</v>
      </c>
      <c r="N17" s="14" t="s">
        <v>688</v>
      </c>
    </row>
    <row r="18" customFormat="false" ht="15" hidden="false" customHeight="false" outlineLevel="0" collapsed="false">
      <c r="A18" s="14" t="n">
        <v>11</v>
      </c>
      <c r="B18" s="14" t="s">
        <v>419</v>
      </c>
      <c r="C18" s="17" t="s">
        <v>491</v>
      </c>
      <c r="D18" s="14" t="s">
        <v>689</v>
      </c>
      <c r="E18" s="15" t="s">
        <v>394</v>
      </c>
      <c r="F18" s="56" t="n">
        <f aca="false">COUNTIF('Little Explorers 5-7'!$C:$C,$C18)+COUNTIF('Junior Makers 8-11'!$C:$C,$C18)+COUNTIF('Young Innovators 12-14'!$C:$C,$C18)+COUNTIF('Tech Leaders 15-17'!$C:$C,$C18)</f>
        <v>2</v>
      </c>
      <c r="G18" s="57" t="n">
        <f aca="false">COUNTIF('Little Explorers 5-7'!$C:$C,$C18)</f>
        <v>0</v>
      </c>
      <c r="H18" s="57" t="n">
        <f aca="false">COUNTIF('Junior Makers 8-11'!$C:$C,$C18)</f>
        <v>1</v>
      </c>
      <c r="I18" s="57" t="n">
        <f aca="false">COUNTIF('Young Innovators 12-14'!$C:$C,$C18)</f>
        <v>0</v>
      </c>
      <c r="J18" s="57" t="n">
        <f aca="false">COUNTIF('Tech Leaders 15-17'!$C:$C,$C18)</f>
        <v>1</v>
      </c>
      <c r="K18" s="58" t="n">
        <f aca="false">MAX(_xlfn.MAXIFS('Little Explorers 5-7'!$D:$D,'Little Explorers 5-7'!$C:$C,$C18,'Little Explorers 5-7'!$E:$E,"Per group"),_xlfn.MAXIFS('Junior Makers 8-11'!$D:$D,'Junior Makers 8-11'!$C:$C,$C18,'Junior Makers 8-11'!$E:$E,"Per group"),_xlfn.MAXIFS('Young Innovators 12-14'!$D:$D,'Young Innovators 12-14'!$C:$C,$C18,'Young Innovators 12-14'!$E:$E,"Per group"),_xlfn.MAXIFS('Tech Leaders 15-17'!$D:$D,'Tech Leaders 15-17'!$C:$C,$C18,'Tech Leaders 15-17'!$E:$E,"Per group"))</f>
        <v>3</v>
      </c>
      <c r="L18" s="59" t="n">
        <f aca="false">MAX(_xlfn.MAXIFS('Little Explorers 5-7'!$D:$D,'Little Explorers 5-7'!$C:$C,$C18,'Little Explorers 5-7'!$E:$E,"Per class"),_xlfn.MAXIFS('Junior Makers 8-11'!$D:$D,'Junior Makers 8-11'!$C:$C,$C18,'Junior Makers 8-11'!$E:$E,"Per class"),_xlfn.MAXIFS('Young Innovators 12-14'!$D:$D,'Young Innovators 12-14'!$C:$C,$C18,'Young Innovators 12-14'!$E:$E,"Per class"),_xlfn.MAXIFS('Tech Leaders 15-17'!$D:$D,'Tech Leaders 15-17'!$C:$C,$C18,'Tech Leaders 15-17'!$E:$E,"Per class"))</f>
        <v>0</v>
      </c>
      <c r="M18" s="14" t="s">
        <v>690</v>
      </c>
      <c r="N18" s="14" t="s">
        <v>691</v>
      </c>
    </row>
    <row r="19" customFormat="false" ht="15" hidden="false" customHeight="false" outlineLevel="0" collapsed="false">
      <c r="A19" s="14" t="n">
        <v>12</v>
      </c>
      <c r="B19" s="14" t="s">
        <v>419</v>
      </c>
      <c r="C19" s="17" t="s">
        <v>487</v>
      </c>
      <c r="D19" s="14" t="s">
        <v>692</v>
      </c>
      <c r="E19" s="15" t="s">
        <v>394</v>
      </c>
      <c r="F19" s="56" t="n">
        <f aca="false">COUNTIF('Little Explorers 5-7'!$C:$C,$C19)+COUNTIF('Junior Makers 8-11'!$C:$C,$C19)+COUNTIF('Young Innovators 12-14'!$C:$C,$C19)+COUNTIF('Tech Leaders 15-17'!$C:$C,$C19)</f>
        <v>2</v>
      </c>
      <c r="G19" s="57" t="n">
        <f aca="false">COUNTIF('Little Explorers 5-7'!$C:$C,$C19)</f>
        <v>0</v>
      </c>
      <c r="H19" s="57" t="n">
        <f aca="false">COUNTIF('Junior Makers 8-11'!$C:$C,$C19)</f>
        <v>1</v>
      </c>
      <c r="I19" s="57" t="n">
        <f aca="false">COUNTIF('Young Innovators 12-14'!$C:$C,$C19)</f>
        <v>0</v>
      </c>
      <c r="J19" s="57" t="n">
        <f aca="false">COUNTIF('Tech Leaders 15-17'!$C:$C,$C19)</f>
        <v>1</v>
      </c>
      <c r="K19" s="58" t="n">
        <f aca="false">MAX(_xlfn.MAXIFS('Little Explorers 5-7'!$D:$D,'Little Explorers 5-7'!$C:$C,$C19,'Little Explorers 5-7'!$E:$E,"Per group"),_xlfn.MAXIFS('Junior Makers 8-11'!$D:$D,'Junior Makers 8-11'!$C:$C,$C19,'Junior Makers 8-11'!$E:$E,"Per group"),_xlfn.MAXIFS('Young Innovators 12-14'!$D:$D,'Young Innovators 12-14'!$C:$C,$C19,'Young Innovators 12-14'!$E:$E,"Per group"),_xlfn.MAXIFS('Tech Leaders 15-17'!$D:$D,'Tech Leaders 15-17'!$C:$C,$C19,'Tech Leaders 15-17'!$E:$E,"Per group"))</f>
        <v>1</v>
      </c>
      <c r="L19" s="59" t="n">
        <f aca="false">MAX(_xlfn.MAXIFS('Little Explorers 5-7'!$D:$D,'Little Explorers 5-7'!$C:$C,$C19,'Little Explorers 5-7'!$E:$E,"Per class"),_xlfn.MAXIFS('Junior Makers 8-11'!$D:$D,'Junior Makers 8-11'!$C:$C,$C19,'Junior Makers 8-11'!$E:$E,"Per class"),_xlfn.MAXIFS('Young Innovators 12-14'!$D:$D,'Young Innovators 12-14'!$C:$C,$C19,'Young Innovators 12-14'!$E:$E,"Per class"),_xlfn.MAXIFS('Tech Leaders 15-17'!$D:$D,'Tech Leaders 15-17'!$C:$C,$C19,'Tech Leaders 15-17'!$E:$E,"Per class"))</f>
        <v>0</v>
      </c>
      <c r="M19" s="14" t="s">
        <v>693</v>
      </c>
      <c r="N19" s="14"/>
    </row>
    <row r="20" customFormat="false" ht="15" hidden="false" customHeight="false" outlineLevel="0" collapsed="false">
      <c r="A20" s="14" t="n">
        <v>13</v>
      </c>
      <c r="B20" s="14" t="s">
        <v>419</v>
      </c>
      <c r="C20" s="17" t="s">
        <v>428</v>
      </c>
      <c r="D20" s="14" t="s">
        <v>694</v>
      </c>
      <c r="E20" s="15" t="s">
        <v>394</v>
      </c>
      <c r="F20" s="56" t="n">
        <f aca="false">COUNTIF('Little Explorers 5-7'!$C:$C,$C20)+COUNTIF('Junior Makers 8-11'!$C:$C,$C20)+COUNTIF('Young Innovators 12-14'!$C:$C,$C20)+COUNTIF('Tech Leaders 15-17'!$C:$C,$C20)</f>
        <v>2</v>
      </c>
      <c r="G20" s="57" t="n">
        <f aca="false">COUNTIF('Little Explorers 5-7'!$C:$C,$C20)</f>
        <v>1</v>
      </c>
      <c r="H20" s="57" t="n">
        <f aca="false">COUNTIF('Junior Makers 8-11'!$C:$C,$C20)</f>
        <v>0</v>
      </c>
      <c r="I20" s="57" t="n">
        <f aca="false">COUNTIF('Young Innovators 12-14'!$C:$C,$C20)</f>
        <v>1</v>
      </c>
      <c r="J20" s="57" t="n">
        <f aca="false">COUNTIF('Tech Leaders 15-17'!$C:$C,$C20)</f>
        <v>0</v>
      </c>
      <c r="K20" s="58" t="n">
        <f aca="false">MAX(_xlfn.MAXIFS('Little Explorers 5-7'!$D:$D,'Little Explorers 5-7'!$C:$C,$C20,'Little Explorers 5-7'!$E:$E,"Per group"),_xlfn.MAXIFS('Junior Makers 8-11'!$D:$D,'Junior Makers 8-11'!$C:$C,$C20,'Junior Makers 8-11'!$E:$E,"Per group"),_xlfn.MAXIFS('Young Innovators 12-14'!$D:$D,'Young Innovators 12-14'!$C:$C,$C20,'Young Innovators 12-14'!$E:$E,"Per group"),_xlfn.MAXIFS('Tech Leaders 15-17'!$D:$D,'Tech Leaders 15-17'!$C:$C,$C20,'Tech Leaders 15-17'!$E:$E,"Per group"))</f>
        <v>1</v>
      </c>
      <c r="L20" s="59" t="n">
        <f aca="false">MAX(_xlfn.MAXIFS('Little Explorers 5-7'!$D:$D,'Little Explorers 5-7'!$C:$C,$C20,'Little Explorers 5-7'!$E:$E,"Per class"),_xlfn.MAXIFS('Junior Makers 8-11'!$D:$D,'Junior Makers 8-11'!$C:$C,$C20,'Junior Makers 8-11'!$E:$E,"Per class"),_xlfn.MAXIFS('Young Innovators 12-14'!$D:$D,'Young Innovators 12-14'!$C:$C,$C20,'Young Innovators 12-14'!$E:$E,"Per class"),_xlfn.MAXIFS('Tech Leaders 15-17'!$D:$D,'Tech Leaders 15-17'!$C:$C,$C20,'Tech Leaders 15-17'!$E:$E,"Per class"))</f>
        <v>0</v>
      </c>
      <c r="M20" s="14" t="s">
        <v>695</v>
      </c>
      <c r="N20" s="14"/>
    </row>
    <row r="21" customFormat="false" ht="15" hidden="false" customHeight="false" outlineLevel="0" collapsed="false">
      <c r="A21" s="14" t="n">
        <v>14</v>
      </c>
      <c r="B21" s="14" t="s">
        <v>419</v>
      </c>
      <c r="C21" s="17" t="s">
        <v>619</v>
      </c>
      <c r="D21" s="14" t="s">
        <v>696</v>
      </c>
      <c r="E21" s="15" t="s">
        <v>394</v>
      </c>
      <c r="F21" s="56" t="n">
        <f aca="false">COUNTIF('Little Explorers 5-7'!$C:$C,$C21)+COUNTIF('Junior Makers 8-11'!$C:$C,$C21)+COUNTIF('Young Innovators 12-14'!$C:$C,$C21)+COUNTIF('Tech Leaders 15-17'!$C:$C,$C21)</f>
        <v>2</v>
      </c>
      <c r="G21" s="57" t="n">
        <f aca="false">COUNTIF('Little Explorers 5-7'!$C:$C,$C21)</f>
        <v>0</v>
      </c>
      <c r="H21" s="57" t="n">
        <f aca="false">COUNTIF('Junior Makers 8-11'!$C:$C,$C21)</f>
        <v>0</v>
      </c>
      <c r="I21" s="57" t="n">
        <f aca="false">COUNTIF('Young Innovators 12-14'!$C:$C,$C21)</f>
        <v>0</v>
      </c>
      <c r="J21" s="57" t="n">
        <f aca="false">COUNTIF('Tech Leaders 15-17'!$C:$C,$C21)</f>
        <v>2</v>
      </c>
      <c r="K21" s="58" t="n">
        <f aca="false">MAX(_xlfn.MAXIFS('Little Explorers 5-7'!$D:$D,'Little Explorers 5-7'!$C:$C,$C21,'Little Explorers 5-7'!$E:$E,"Per group"),_xlfn.MAXIFS('Junior Makers 8-11'!$D:$D,'Junior Makers 8-11'!$C:$C,$C21,'Junior Makers 8-11'!$E:$E,"Per group"),_xlfn.MAXIFS('Young Innovators 12-14'!$D:$D,'Young Innovators 12-14'!$C:$C,$C21,'Young Innovators 12-14'!$E:$E,"Per group"),_xlfn.MAXIFS('Tech Leaders 15-17'!$D:$D,'Tech Leaders 15-17'!$C:$C,$C21,'Tech Leaders 15-17'!$E:$E,"Per group"))</f>
        <v>1</v>
      </c>
      <c r="L21" s="59" t="n">
        <f aca="false">MAX(_xlfn.MAXIFS('Little Explorers 5-7'!$D:$D,'Little Explorers 5-7'!$C:$C,$C21,'Little Explorers 5-7'!$E:$E,"Per class"),_xlfn.MAXIFS('Junior Makers 8-11'!$D:$D,'Junior Makers 8-11'!$C:$C,$C21,'Junior Makers 8-11'!$E:$E,"Per class"),_xlfn.MAXIFS('Young Innovators 12-14'!$D:$D,'Young Innovators 12-14'!$C:$C,$C21,'Young Innovators 12-14'!$E:$E,"Per class"),_xlfn.MAXIFS('Tech Leaders 15-17'!$D:$D,'Tech Leaders 15-17'!$C:$C,$C21,'Tech Leaders 15-17'!$E:$E,"Per class"))</f>
        <v>0</v>
      </c>
      <c r="M21" s="14" t="s">
        <v>697</v>
      </c>
      <c r="N21" s="14"/>
    </row>
    <row r="22" customFormat="false" ht="15" hidden="false" customHeight="false" outlineLevel="0" collapsed="false">
      <c r="A22" s="14" t="n">
        <v>15</v>
      </c>
      <c r="B22" s="14" t="s">
        <v>419</v>
      </c>
      <c r="C22" s="17" t="s">
        <v>549</v>
      </c>
      <c r="D22" s="14" t="s">
        <v>698</v>
      </c>
      <c r="E22" s="15" t="s">
        <v>394</v>
      </c>
      <c r="F22" s="56" t="n">
        <f aca="false">COUNTIF('Little Explorers 5-7'!$C:$C,$C22)+COUNTIF('Junior Makers 8-11'!$C:$C,$C22)+COUNTIF('Young Innovators 12-14'!$C:$C,$C22)+COUNTIF('Tech Leaders 15-17'!$C:$C,$C22)</f>
        <v>1</v>
      </c>
      <c r="G22" s="57" t="n">
        <f aca="false">COUNTIF('Little Explorers 5-7'!$C:$C,$C22)</f>
        <v>0</v>
      </c>
      <c r="H22" s="57" t="n">
        <f aca="false">COUNTIF('Junior Makers 8-11'!$C:$C,$C22)</f>
        <v>0</v>
      </c>
      <c r="I22" s="57" t="n">
        <f aca="false">COUNTIF('Young Innovators 12-14'!$C:$C,$C22)</f>
        <v>1</v>
      </c>
      <c r="J22" s="57" t="n">
        <f aca="false">COUNTIF('Tech Leaders 15-17'!$C:$C,$C22)</f>
        <v>0</v>
      </c>
      <c r="K22" s="58" t="n">
        <f aca="false">MAX(_xlfn.MAXIFS('Little Explorers 5-7'!$D:$D,'Little Explorers 5-7'!$C:$C,$C22,'Little Explorers 5-7'!$E:$E,"Per group"),_xlfn.MAXIFS('Junior Makers 8-11'!$D:$D,'Junior Makers 8-11'!$C:$C,$C22,'Junior Makers 8-11'!$E:$E,"Per group"),_xlfn.MAXIFS('Young Innovators 12-14'!$D:$D,'Young Innovators 12-14'!$C:$C,$C22,'Young Innovators 12-14'!$E:$E,"Per group"),_xlfn.MAXIFS('Tech Leaders 15-17'!$D:$D,'Tech Leaders 15-17'!$C:$C,$C22,'Tech Leaders 15-17'!$E:$E,"Per group"))</f>
        <v>1</v>
      </c>
      <c r="L22" s="59" t="n">
        <f aca="false">MAX(_xlfn.MAXIFS('Little Explorers 5-7'!$D:$D,'Little Explorers 5-7'!$C:$C,$C22,'Little Explorers 5-7'!$E:$E,"Per class"),_xlfn.MAXIFS('Junior Makers 8-11'!$D:$D,'Junior Makers 8-11'!$C:$C,$C22,'Junior Makers 8-11'!$E:$E,"Per class"),_xlfn.MAXIFS('Young Innovators 12-14'!$D:$D,'Young Innovators 12-14'!$C:$C,$C22,'Young Innovators 12-14'!$E:$E,"Per class"),_xlfn.MAXIFS('Tech Leaders 15-17'!$D:$D,'Tech Leaders 15-17'!$C:$C,$C22,'Tech Leaders 15-17'!$E:$E,"Per class"))</f>
        <v>0</v>
      </c>
      <c r="M22" s="14" t="s">
        <v>232</v>
      </c>
      <c r="N22" s="14"/>
    </row>
    <row r="23" customFormat="false" ht="15" hidden="false" customHeight="false" outlineLevel="0" collapsed="false">
      <c r="A23" s="14" t="n">
        <v>16</v>
      </c>
      <c r="B23" s="14" t="s">
        <v>419</v>
      </c>
      <c r="C23" s="17" t="s">
        <v>433</v>
      </c>
      <c r="D23" s="14" t="s">
        <v>699</v>
      </c>
      <c r="E23" s="15" t="s">
        <v>394</v>
      </c>
      <c r="F23" s="56" t="n">
        <f aca="false">COUNTIF('Little Explorers 5-7'!$C:$C,$C23)+COUNTIF('Junior Makers 8-11'!$C:$C,$C23)+COUNTIF('Young Innovators 12-14'!$C:$C,$C23)+COUNTIF('Tech Leaders 15-17'!$C:$C,$C23)</f>
        <v>5</v>
      </c>
      <c r="G23" s="57" t="n">
        <f aca="false">COUNTIF('Little Explorers 5-7'!$C:$C,$C23)</f>
        <v>1</v>
      </c>
      <c r="H23" s="57" t="n">
        <f aca="false">COUNTIF('Junior Makers 8-11'!$C:$C,$C23)</f>
        <v>1</v>
      </c>
      <c r="I23" s="57" t="n">
        <f aca="false">COUNTIF('Young Innovators 12-14'!$C:$C,$C23)</f>
        <v>1</v>
      </c>
      <c r="J23" s="57" t="n">
        <f aca="false">COUNTIF('Tech Leaders 15-17'!$C:$C,$C23)</f>
        <v>2</v>
      </c>
      <c r="K23" s="58" t="n">
        <f aca="false">MAX(_xlfn.MAXIFS('Little Explorers 5-7'!$D:$D,'Little Explorers 5-7'!$C:$C,$C23,'Little Explorers 5-7'!$E:$E,"Per group"),_xlfn.MAXIFS('Junior Makers 8-11'!$D:$D,'Junior Makers 8-11'!$C:$C,$C23,'Junior Makers 8-11'!$E:$E,"Per group"),_xlfn.MAXIFS('Young Innovators 12-14'!$D:$D,'Young Innovators 12-14'!$C:$C,$C23,'Young Innovators 12-14'!$E:$E,"Per group"),_xlfn.MAXIFS('Tech Leaders 15-17'!$D:$D,'Tech Leaders 15-17'!$C:$C,$C23,'Tech Leaders 15-17'!$E:$E,"Per group"))</f>
        <v>1</v>
      </c>
      <c r="L23" s="59" t="n">
        <f aca="false">MAX(_xlfn.MAXIFS('Little Explorers 5-7'!$D:$D,'Little Explorers 5-7'!$C:$C,$C23,'Little Explorers 5-7'!$E:$E,"Per class"),_xlfn.MAXIFS('Junior Makers 8-11'!$D:$D,'Junior Makers 8-11'!$C:$C,$C23,'Junior Makers 8-11'!$E:$E,"Per class"),_xlfn.MAXIFS('Young Innovators 12-14'!$D:$D,'Young Innovators 12-14'!$C:$C,$C23,'Young Innovators 12-14'!$E:$E,"Per class"),_xlfn.MAXIFS('Tech Leaders 15-17'!$D:$D,'Tech Leaders 15-17'!$C:$C,$C23,'Tech Leaders 15-17'!$E:$E,"Per class"))</f>
        <v>0</v>
      </c>
      <c r="M23" s="14" t="s">
        <v>700</v>
      </c>
      <c r="N23" s="14"/>
    </row>
    <row r="24" customFormat="false" ht="15" hidden="false" customHeight="false" outlineLevel="0" collapsed="false">
      <c r="A24" s="14" t="n">
        <v>17</v>
      </c>
      <c r="B24" s="14" t="s">
        <v>419</v>
      </c>
      <c r="C24" s="17" t="s">
        <v>530</v>
      </c>
      <c r="D24" s="14" t="s">
        <v>701</v>
      </c>
      <c r="E24" s="15" t="s">
        <v>394</v>
      </c>
      <c r="F24" s="56" t="n">
        <f aca="false">COUNTIF('Little Explorers 5-7'!$C:$C,$C24)+COUNTIF('Junior Makers 8-11'!$C:$C,$C24)+COUNTIF('Young Innovators 12-14'!$C:$C,$C24)+COUNTIF('Tech Leaders 15-17'!$C:$C,$C24)</f>
        <v>3</v>
      </c>
      <c r="G24" s="57" t="n">
        <f aca="false">COUNTIF('Little Explorers 5-7'!$C:$C,$C24)</f>
        <v>0</v>
      </c>
      <c r="H24" s="57" t="n">
        <f aca="false">COUNTIF('Junior Makers 8-11'!$C:$C,$C24)</f>
        <v>1</v>
      </c>
      <c r="I24" s="57" t="n">
        <f aca="false">COUNTIF('Young Innovators 12-14'!$C:$C,$C24)</f>
        <v>1</v>
      </c>
      <c r="J24" s="57" t="n">
        <f aca="false">COUNTIF('Tech Leaders 15-17'!$C:$C,$C24)</f>
        <v>1</v>
      </c>
      <c r="K24" s="58" t="n">
        <f aca="false">MAX(_xlfn.MAXIFS('Little Explorers 5-7'!$D:$D,'Little Explorers 5-7'!$C:$C,$C24,'Little Explorers 5-7'!$E:$E,"Per group"),_xlfn.MAXIFS('Junior Makers 8-11'!$D:$D,'Junior Makers 8-11'!$C:$C,$C24,'Junior Makers 8-11'!$E:$E,"Per group"),_xlfn.MAXIFS('Young Innovators 12-14'!$D:$D,'Young Innovators 12-14'!$C:$C,$C24,'Young Innovators 12-14'!$E:$E,"Per group"),_xlfn.MAXIFS('Tech Leaders 15-17'!$D:$D,'Tech Leaders 15-17'!$C:$C,$C24,'Tech Leaders 15-17'!$E:$E,"Per group"))</f>
        <v>1</v>
      </c>
      <c r="L24" s="59" t="n">
        <f aca="false">MAX(_xlfn.MAXIFS('Little Explorers 5-7'!$D:$D,'Little Explorers 5-7'!$C:$C,$C24,'Little Explorers 5-7'!$E:$E,"Per class"),_xlfn.MAXIFS('Junior Makers 8-11'!$D:$D,'Junior Makers 8-11'!$C:$C,$C24,'Junior Makers 8-11'!$E:$E,"Per class"),_xlfn.MAXIFS('Young Innovators 12-14'!$D:$D,'Young Innovators 12-14'!$C:$C,$C24,'Young Innovators 12-14'!$E:$E,"Per class"),_xlfn.MAXIFS('Tech Leaders 15-17'!$D:$D,'Tech Leaders 15-17'!$C:$C,$C24,'Tech Leaders 15-17'!$E:$E,"Per class"))</f>
        <v>0</v>
      </c>
      <c r="M24" s="14" t="s">
        <v>702</v>
      </c>
      <c r="N24" s="14" t="s">
        <v>703</v>
      </c>
    </row>
    <row r="25" customFormat="false" ht="15" hidden="false" customHeight="false" outlineLevel="0" collapsed="false">
      <c r="A25" s="14" t="n">
        <v>18</v>
      </c>
      <c r="B25" s="14" t="s">
        <v>419</v>
      </c>
      <c r="C25" s="17" t="s">
        <v>648</v>
      </c>
      <c r="D25" s="14" t="s">
        <v>704</v>
      </c>
      <c r="E25" s="15" t="s">
        <v>394</v>
      </c>
      <c r="F25" s="56" t="n">
        <f aca="false">COUNTIF('Little Explorers 5-7'!$C:$C,$C25)+COUNTIF('Junior Makers 8-11'!$C:$C,$C25)+COUNTIF('Young Innovators 12-14'!$C:$C,$C25)+COUNTIF('Tech Leaders 15-17'!$C:$C,$C25)</f>
        <v>1</v>
      </c>
      <c r="G25" s="57" t="n">
        <f aca="false">COUNTIF('Little Explorers 5-7'!$C:$C,$C25)</f>
        <v>0</v>
      </c>
      <c r="H25" s="57" t="n">
        <f aca="false">COUNTIF('Junior Makers 8-11'!$C:$C,$C25)</f>
        <v>0</v>
      </c>
      <c r="I25" s="57" t="n">
        <f aca="false">COUNTIF('Young Innovators 12-14'!$C:$C,$C25)</f>
        <v>0</v>
      </c>
      <c r="J25" s="57" t="n">
        <f aca="false">COUNTIF('Tech Leaders 15-17'!$C:$C,$C25)</f>
        <v>1</v>
      </c>
      <c r="K25" s="58" t="n">
        <f aca="false">MAX(_xlfn.MAXIFS('Little Explorers 5-7'!$D:$D,'Little Explorers 5-7'!$C:$C,$C25,'Little Explorers 5-7'!$E:$E,"Per group"),_xlfn.MAXIFS('Junior Makers 8-11'!$D:$D,'Junior Makers 8-11'!$C:$C,$C25,'Junior Makers 8-11'!$E:$E,"Per group"),_xlfn.MAXIFS('Young Innovators 12-14'!$D:$D,'Young Innovators 12-14'!$C:$C,$C25,'Young Innovators 12-14'!$E:$E,"Per group"),_xlfn.MAXIFS('Tech Leaders 15-17'!$D:$D,'Tech Leaders 15-17'!$C:$C,$C25,'Tech Leaders 15-17'!$E:$E,"Per group"))</f>
        <v>1</v>
      </c>
      <c r="L25" s="59" t="n">
        <f aca="false">MAX(_xlfn.MAXIFS('Little Explorers 5-7'!$D:$D,'Little Explorers 5-7'!$C:$C,$C25,'Little Explorers 5-7'!$E:$E,"Per class"),_xlfn.MAXIFS('Junior Makers 8-11'!$D:$D,'Junior Makers 8-11'!$C:$C,$C25,'Junior Makers 8-11'!$E:$E,"Per class"),_xlfn.MAXIFS('Young Innovators 12-14'!$D:$D,'Young Innovators 12-14'!$C:$C,$C25,'Young Innovators 12-14'!$E:$E,"Per class"),_xlfn.MAXIFS('Tech Leaders 15-17'!$D:$D,'Tech Leaders 15-17'!$C:$C,$C25,'Tech Leaders 15-17'!$E:$E,"Per class"))</f>
        <v>0</v>
      </c>
      <c r="M25" s="14" t="s">
        <v>357</v>
      </c>
      <c r="N25" s="14"/>
    </row>
    <row r="26" customFormat="false" ht="15" hidden="false" customHeight="false" outlineLevel="0" collapsed="false">
      <c r="A26" s="4"/>
      <c r="B26" s="55" t="s">
        <v>705</v>
      </c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</row>
    <row r="27" customFormat="false" ht="15" hidden="false" customHeight="false" outlineLevel="0" collapsed="false">
      <c r="A27" s="14" t="n">
        <v>19</v>
      </c>
      <c r="B27" s="14" t="s">
        <v>571</v>
      </c>
      <c r="C27" s="17" t="s">
        <v>572</v>
      </c>
      <c r="D27" s="14" t="s">
        <v>706</v>
      </c>
      <c r="E27" s="15" t="s">
        <v>394</v>
      </c>
      <c r="F27" s="56" t="n">
        <f aca="false">COUNTIF('Little Explorers 5-7'!$C:$C,$C27)+COUNTIF('Junior Makers 8-11'!$C:$C,$C27)+COUNTIF('Young Innovators 12-14'!$C:$C,$C27)+COUNTIF('Tech Leaders 15-17'!$C:$C,$C27)</f>
        <v>2</v>
      </c>
      <c r="G27" s="57" t="n">
        <f aca="false">COUNTIF('Little Explorers 5-7'!$C:$C,$C27)</f>
        <v>0</v>
      </c>
      <c r="H27" s="57" t="n">
        <f aca="false">COUNTIF('Junior Makers 8-11'!$C:$C,$C27)</f>
        <v>0</v>
      </c>
      <c r="I27" s="57" t="n">
        <f aca="false">COUNTIF('Young Innovators 12-14'!$C:$C,$C27)</f>
        <v>1</v>
      </c>
      <c r="J27" s="57" t="n">
        <f aca="false">COUNTIF('Tech Leaders 15-17'!$C:$C,$C27)</f>
        <v>1</v>
      </c>
      <c r="K27" s="58" t="n">
        <f aca="false">MAX(_xlfn.MAXIFS('Little Explorers 5-7'!$D:$D,'Little Explorers 5-7'!$C:$C,$C27,'Little Explorers 5-7'!$E:$E,"Per group"),_xlfn.MAXIFS('Junior Makers 8-11'!$D:$D,'Junior Makers 8-11'!$C:$C,$C27,'Junior Makers 8-11'!$E:$E,"Per group"),_xlfn.MAXIFS('Young Innovators 12-14'!$D:$D,'Young Innovators 12-14'!$C:$C,$C27,'Young Innovators 12-14'!$E:$E,"Per group"),_xlfn.MAXIFS('Tech Leaders 15-17'!$D:$D,'Tech Leaders 15-17'!$C:$C,$C27,'Tech Leaders 15-17'!$E:$E,"Per group"))</f>
        <v>1</v>
      </c>
      <c r="L27" s="59" t="n">
        <f aca="false">MAX(_xlfn.MAXIFS('Little Explorers 5-7'!$D:$D,'Little Explorers 5-7'!$C:$C,$C27,'Little Explorers 5-7'!$E:$E,"Per class"),_xlfn.MAXIFS('Junior Makers 8-11'!$D:$D,'Junior Makers 8-11'!$C:$C,$C27,'Junior Makers 8-11'!$E:$E,"Per class"),_xlfn.MAXIFS('Young Innovators 12-14'!$D:$D,'Young Innovators 12-14'!$C:$C,$C27,'Young Innovators 12-14'!$E:$E,"Per class"),_xlfn.MAXIFS('Tech Leaders 15-17'!$D:$D,'Tech Leaders 15-17'!$C:$C,$C27,'Tech Leaders 15-17'!$E:$E,"Per class"))</f>
        <v>0</v>
      </c>
      <c r="M27" s="14" t="s">
        <v>707</v>
      </c>
      <c r="N27" s="14"/>
    </row>
    <row r="28" customFormat="false" ht="15" hidden="false" customHeight="false" outlineLevel="0" collapsed="false">
      <c r="A28" s="14" t="n">
        <v>20</v>
      </c>
      <c r="B28" s="14" t="s">
        <v>571</v>
      </c>
      <c r="C28" s="17" t="s">
        <v>631</v>
      </c>
      <c r="D28" s="14" t="s">
        <v>708</v>
      </c>
      <c r="E28" s="15" t="s">
        <v>394</v>
      </c>
      <c r="F28" s="56" t="n">
        <f aca="false">COUNTIF('Little Explorers 5-7'!$C:$C,$C28)+COUNTIF('Junior Makers 8-11'!$C:$C,$C28)+COUNTIF('Young Innovators 12-14'!$C:$C,$C28)+COUNTIF('Tech Leaders 15-17'!$C:$C,$C28)</f>
        <v>1</v>
      </c>
      <c r="G28" s="57" t="n">
        <f aca="false">COUNTIF('Little Explorers 5-7'!$C:$C,$C28)</f>
        <v>0</v>
      </c>
      <c r="H28" s="57" t="n">
        <f aca="false">COUNTIF('Junior Makers 8-11'!$C:$C,$C28)</f>
        <v>0</v>
      </c>
      <c r="I28" s="57" t="n">
        <f aca="false">COUNTIF('Young Innovators 12-14'!$C:$C,$C28)</f>
        <v>0</v>
      </c>
      <c r="J28" s="57" t="n">
        <f aca="false">COUNTIF('Tech Leaders 15-17'!$C:$C,$C28)</f>
        <v>1</v>
      </c>
      <c r="K28" s="58" t="n">
        <f aca="false">MAX(_xlfn.MAXIFS('Little Explorers 5-7'!$D:$D,'Little Explorers 5-7'!$C:$C,$C28,'Little Explorers 5-7'!$E:$E,"Per group"),_xlfn.MAXIFS('Junior Makers 8-11'!$D:$D,'Junior Makers 8-11'!$C:$C,$C28,'Junior Makers 8-11'!$E:$E,"Per group"),_xlfn.MAXIFS('Young Innovators 12-14'!$D:$D,'Young Innovators 12-14'!$C:$C,$C28,'Young Innovators 12-14'!$E:$E,"Per group"),_xlfn.MAXIFS('Tech Leaders 15-17'!$D:$D,'Tech Leaders 15-17'!$C:$C,$C28,'Tech Leaders 15-17'!$E:$E,"Per group"))</f>
        <v>1</v>
      </c>
      <c r="L28" s="59" t="n">
        <f aca="false">MAX(_xlfn.MAXIFS('Little Explorers 5-7'!$D:$D,'Little Explorers 5-7'!$C:$C,$C28,'Little Explorers 5-7'!$E:$E,"Per class"),_xlfn.MAXIFS('Junior Makers 8-11'!$D:$D,'Junior Makers 8-11'!$C:$C,$C28,'Junior Makers 8-11'!$E:$E,"Per class"),_xlfn.MAXIFS('Young Innovators 12-14'!$D:$D,'Young Innovators 12-14'!$C:$C,$C28,'Young Innovators 12-14'!$E:$E,"Per class"),_xlfn.MAXIFS('Tech Leaders 15-17'!$D:$D,'Tech Leaders 15-17'!$C:$C,$C28,'Tech Leaders 15-17'!$E:$E,"Per class"))</f>
        <v>0</v>
      </c>
      <c r="M28" s="14" t="s">
        <v>323</v>
      </c>
      <c r="N28" s="14"/>
    </row>
    <row r="29" customFormat="false" ht="15" hidden="false" customHeight="false" outlineLevel="0" collapsed="false">
      <c r="A29" s="4"/>
      <c r="B29" s="55" t="s">
        <v>709</v>
      </c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</row>
    <row r="30" customFormat="false" ht="15" hidden="false" customHeight="false" outlineLevel="0" collapsed="false">
      <c r="A30" s="14" t="n">
        <v>21</v>
      </c>
      <c r="B30" s="14" t="s">
        <v>522</v>
      </c>
      <c r="C30" s="17" t="s">
        <v>523</v>
      </c>
      <c r="D30" s="14" t="s">
        <v>710</v>
      </c>
      <c r="E30" s="15" t="s">
        <v>394</v>
      </c>
      <c r="F30" s="56" t="n">
        <f aca="false">COUNTIF('Little Explorers 5-7'!$C:$C,$C30)+COUNTIF('Junior Makers 8-11'!$C:$C,$C30)+COUNTIF('Young Innovators 12-14'!$C:$C,$C30)+COUNTIF('Tech Leaders 15-17'!$C:$C,$C30)</f>
        <v>2</v>
      </c>
      <c r="G30" s="57" t="n">
        <f aca="false">COUNTIF('Little Explorers 5-7'!$C:$C,$C30)</f>
        <v>0</v>
      </c>
      <c r="H30" s="57" t="n">
        <f aca="false">COUNTIF('Junior Makers 8-11'!$C:$C,$C30)</f>
        <v>1</v>
      </c>
      <c r="I30" s="57" t="n">
        <f aca="false">COUNTIF('Young Innovators 12-14'!$C:$C,$C30)</f>
        <v>1</v>
      </c>
      <c r="J30" s="57" t="n">
        <f aca="false">COUNTIF('Tech Leaders 15-17'!$C:$C,$C30)</f>
        <v>0</v>
      </c>
      <c r="K30" s="58" t="n">
        <f aca="false">MAX(_xlfn.MAXIFS('Little Explorers 5-7'!$D:$D,'Little Explorers 5-7'!$C:$C,$C30,'Little Explorers 5-7'!$E:$E,"Per group"),_xlfn.MAXIFS('Junior Makers 8-11'!$D:$D,'Junior Makers 8-11'!$C:$C,$C30,'Junior Makers 8-11'!$E:$E,"Per group"),_xlfn.MAXIFS('Young Innovators 12-14'!$D:$D,'Young Innovators 12-14'!$C:$C,$C30,'Young Innovators 12-14'!$E:$E,"Per group"),_xlfn.MAXIFS('Tech Leaders 15-17'!$D:$D,'Tech Leaders 15-17'!$C:$C,$C30,'Tech Leaders 15-17'!$E:$E,"Per group"))</f>
        <v>1</v>
      </c>
      <c r="L30" s="59" t="n">
        <f aca="false">MAX(_xlfn.MAXIFS('Little Explorers 5-7'!$D:$D,'Little Explorers 5-7'!$C:$C,$C30,'Little Explorers 5-7'!$E:$E,"Per class"),_xlfn.MAXIFS('Junior Makers 8-11'!$D:$D,'Junior Makers 8-11'!$C:$C,$C30,'Junior Makers 8-11'!$E:$E,"Per class"),_xlfn.MAXIFS('Young Innovators 12-14'!$D:$D,'Young Innovators 12-14'!$C:$C,$C30,'Young Innovators 12-14'!$E:$E,"Per class"),_xlfn.MAXIFS('Tech Leaders 15-17'!$D:$D,'Tech Leaders 15-17'!$C:$C,$C30,'Tech Leaders 15-17'!$E:$E,"Per class"))</f>
        <v>0</v>
      </c>
      <c r="M30" s="14" t="s">
        <v>711</v>
      </c>
      <c r="N30" s="14" t="s">
        <v>712</v>
      </c>
    </row>
    <row r="31" customFormat="false" ht="15" hidden="false" customHeight="false" outlineLevel="0" collapsed="false">
      <c r="A31" s="14" t="n">
        <v>22</v>
      </c>
      <c r="B31" s="14" t="s">
        <v>522</v>
      </c>
      <c r="C31" s="17" t="s">
        <v>583</v>
      </c>
      <c r="D31" s="14" t="s">
        <v>713</v>
      </c>
      <c r="E31" s="15" t="s">
        <v>394</v>
      </c>
      <c r="F31" s="56" t="n">
        <f aca="false">COUNTIF('Little Explorers 5-7'!$C:$C,$C31)+COUNTIF('Junior Makers 8-11'!$C:$C,$C31)+COUNTIF('Young Innovators 12-14'!$C:$C,$C31)+COUNTIF('Tech Leaders 15-17'!$C:$C,$C31)</f>
        <v>1</v>
      </c>
      <c r="G31" s="57" t="n">
        <f aca="false">COUNTIF('Little Explorers 5-7'!$C:$C,$C31)</f>
        <v>0</v>
      </c>
      <c r="H31" s="57" t="n">
        <f aca="false">COUNTIF('Junior Makers 8-11'!$C:$C,$C31)</f>
        <v>0</v>
      </c>
      <c r="I31" s="57" t="n">
        <f aca="false">COUNTIF('Young Innovators 12-14'!$C:$C,$C31)</f>
        <v>1</v>
      </c>
      <c r="J31" s="57" t="n">
        <f aca="false">COUNTIF('Tech Leaders 15-17'!$C:$C,$C31)</f>
        <v>0</v>
      </c>
      <c r="K31" s="58" t="n">
        <f aca="false">MAX(_xlfn.MAXIFS('Little Explorers 5-7'!$D:$D,'Little Explorers 5-7'!$C:$C,$C31,'Little Explorers 5-7'!$E:$E,"Per group"),_xlfn.MAXIFS('Junior Makers 8-11'!$D:$D,'Junior Makers 8-11'!$C:$C,$C31,'Junior Makers 8-11'!$E:$E,"Per group"),_xlfn.MAXIFS('Young Innovators 12-14'!$D:$D,'Young Innovators 12-14'!$C:$C,$C31,'Young Innovators 12-14'!$E:$E,"Per group"),_xlfn.MAXIFS('Tech Leaders 15-17'!$D:$D,'Tech Leaders 15-17'!$C:$C,$C31,'Tech Leaders 15-17'!$E:$E,"Per group"))</f>
        <v>2</v>
      </c>
      <c r="L31" s="59" t="n">
        <f aca="false">MAX(_xlfn.MAXIFS('Little Explorers 5-7'!$D:$D,'Little Explorers 5-7'!$C:$C,$C31,'Little Explorers 5-7'!$E:$E,"Per class"),_xlfn.MAXIFS('Junior Makers 8-11'!$D:$D,'Junior Makers 8-11'!$C:$C,$C31,'Junior Makers 8-11'!$E:$E,"Per class"),_xlfn.MAXIFS('Young Innovators 12-14'!$D:$D,'Young Innovators 12-14'!$C:$C,$C31,'Young Innovators 12-14'!$E:$E,"Per class"),_xlfn.MAXIFS('Tech Leaders 15-17'!$D:$D,'Tech Leaders 15-17'!$C:$C,$C31,'Tech Leaders 15-17'!$E:$E,"Per class"))</f>
        <v>0</v>
      </c>
      <c r="M31" s="14" t="s">
        <v>264</v>
      </c>
      <c r="N31" s="14" t="s">
        <v>714</v>
      </c>
    </row>
    <row r="32" customFormat="false" ht="15" hidden="false" customHeight="false" outlineLevel="0" collapsed="false">
      <c r="A32" s="4"/>
      <c r="B32" s="55" t="s">
        <v>715</v>
      </c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</row>
    <row r="33" customFormat="false" ht="23.85" hidden="false" customHeight="false" outlineLevel="0" collapsed="false">
      <c r="A33" s="14" t="n">
        <v>23</v>
      </c>
      <c r="B33" s="14" t="s">
        <v>396</v>
      </c>
      <c r="C33" s="17" t="s">
        <v>436</v>
      </c>
      <c r="D33" s="14" t="s">
        <v>716</v>
      </c>
      <c r="E33" s="15" t="s">
        <v>394</v>
      </c>
      <c r="F33" s="56" t="n">
        <f aca="false">COUNTIF('Little Explorers 5-7'!$C:$C,$C33)+COUNTIF('Junior Makers 8-11'!$C:$C,$C33)+COUNTIF('Young Innovators 12-14'!$C:$C,$C33)+COUNTIF('Tech Leaders 15-17'!$C:$C,$C33)</f>
        <v>12</v>
      </c>
      <c r="G33" s="57" t="n">
        <f aca="false">COUNTIF('Little Explorers 5-7'!$C:$C,$C33)</f>
        <v>2</v>
      </c>
      <c r="H33" s="57" t="n">
        <f aca="false">COUNTIF('Junior Makers 8-11'!$C:$C,$C33)</f>
        <v>3</v>
      </c>
      <c r="I33" s="57" t="n">
        <f aca="false">COUNTIF('Young Innovators 12-14'!$C:$C,$C33)</f>
        <v>4</v>
      </c>
      <c r="J33" s="57" t="n">
        <f aca="false">COUNTIF('Tech Leaders 15-17'!$C:$C,$C33)</f>
        <v>3</v>
      </c>
      <c r="K33" s="58" t="n">
        <f aca="false">MAX(_xlfn.MAXIFS('Little Explorers 5-7'!$D:$D,'Little Explorers 5-7'!$C:$C,$C33,'Little Explorers 5-7'!$E:$E,"Per group"),_xlfn.MAXIFS('Junior Makers 8-11'!$D:$D,'Junior Makers 8-11'!$C:$C,$C33,'Junior Makers 8-11'!$E:$E,"Per group"),_xlfn.MAXIFS('Young Innovators 12-14'!$D:$D,'Young Innovators 12-14'!$C:$C,$C33,'Young Innovators 12-14'!$E:$E,"Per group"),_xlfn.MAXIFS('Tech Leaders 15-17'!$D:$D,'Tech Leaders 15-17'!$C:$C,$C33,'Tech Leaders 15-17'!$E:$E,"Per group"))</f>
        <v>3</v>
      </c>
      <c r="L33" s="59" t="n">
        <f aca="false">MAX(_xlfn.MAXIFS('Little Explorers 5-7'!$D:$D,'Little Explorers 5-7'!$C:$C,$C33,'Little Explorers 5-7'!$E:$E,"Per class"),_xlfn.MAXIFS('Junior Makers 8-11'!$D:$D,'Junior Makers 8-11'!$C:$C,$C33,'Junior Makers 8-11'!$E:$E,"Per class"),_xlfn.MAXIFS('Young Innovators 12-14'!$D:$D,'Young Innovators 12-14'!$C:$C,$C33,'Young Innovators 12-14'!$E:$E,"Per class"),_xlfn.MAXIFS('Tech Leaders 15-17'!$D:$D,'Tech Leaders 15-17'!$C:$C,$C33,'Tech Leaders 15-17'!$E:$E,"Per class"))</f>
        <v>0</v>
      </c>
      <c r="M33" s="14" t="s">
        <v>717</v>
      </c>
      <c r="N33" s="14" t="s">
        <v>718</v>
      </c>
    </row>
    <row r="34" customFormat="false" ht="15" hidden="false" customHeight="false" outlineLevel="0" collapsed="false">
      <c r="A34" s="14" t="n">
        <v>24</v>
      </c>
      <c r="B34" s="14" t="s">
        <v>396</v>
      </c>
      <c r="C34" s="17" t="s">
        <v>609</v>
      </c>
      <c r="D34" s="14" t="s">
        <v>719</v>
      </c>
      <c r="E34" s="15" t="s">
        <v>394</v>
      </c>
      <c r="F34" s="56" t="n">
        <f aca="false">COUNTIF('Little Explorers 5-7'!$C:$C,$C34)+COUNTIF('Junior Makers 8-11'!$C:$C,$C34)+COUNTIF('Young Innovators 12-14'!$C:$C,$C34)+COUNTIF('Tech Leaders 15-17'!$C:$C,$C34)</f>
        <v>1</v>
      </c>
      <c r="G34" s="57" t="n">
        <f aca="false">COUNTIF('Little Explorers 5-7'!$C:$C,$C34)</f>
        <v>0</v>
      </c>
      <c r="H34" s="57" t="n">
        <f aca="false">COUNTIF('Junior Makers 8-11'!$C:$C,$C34)</f>
        <v>0</v>
      </c>
      <c r="I34" s="57" t="n">
        <f aca="false">COUNTIF('Young Innovators 12-14'!$C:$C,$C34)</f>
        <v>0</v>
      </c>
      <c r="J34" s="57" t="n">
        <f aca="false">COUNTIF('Tech Leaders 15-17'!$C:$C,$C34)</f>
        <v>1</v>
      </c>
      <c r="K34" s="58" t="n">
        <f aca="false">MAX(_xlfn.MAXIFS('Little Explorers 5-7'!$D:$D,'Little Explorers 5-7'!$C:$C,$C34,'Little Explorers 5-7'!$E:$E,"Per group"),_xlfn.MAXIFS('Junior Makers 8-11'!$D:$D,'Junior Makers 8-11'!$C:$C,$C34,'Junior Makers 8-11'!$E:$E,"Per group"),_xlfn.MAXIFS('Young Innovators 12-14'!$D:$D,'Young Innovators 12-14'!$C:$C,$C34,'Young Innovators 12-14'!$E:$E,"Per group"),_xlfn.MAXIFS('Tech Leaders 15-17'!$D:$D,'Tech Leaders 15-17'!$C:$C,$C34,'Tech Leaders 15-17'!$E:$E,"Per group"))</f>
        <v>2</v>
      </c>
      <c r="L34" s="59" t="n">
        <f aca="false">MAX(_xlfn.MAXIFS('Little Explorers 5-7'!$D:$D,'Little Explorers 5-7'!$C:$C,$C34,'Little Explorers 5-7'!$E:$E,"Per class"),_xlfn.MAXIFS('Junior Makers 8-11'!$D:$D,'Junior Makers 8-11'!$C:$C,$C34,'Junior Makers 8-11'!$E:$E,"Per class"),_xlfn.MAXIFS('Young Innovators 12-14'!$D:$D,'Young Innovators 12-14'!$C:$C,$C34,'Young Innovators 12-14'!$E:$E,"Per class"),_xlfn.MAXIFS('Tech Leaders 15-17'!$D:$D,'Tech Leaders 15-17'!$C:$C,$C34,'Tech Leaders 15-17'!$E:$E,"Per class"))</f>
        <v>0</v>
      </c>
      <c r="M34" s="14" t="s">
        <v>303</v>
      </c>
      <c r="N34" s="14" t="s">
        <v>720</v>
      </c>
    </row>
    <row r="35" customFormat="false" ht="15" hidden="false" customHeight="false" outlineLevel="0" collapsed="false">
      <c r="A35" s="14" t="n">
        <v>25</v>
      </c>
      <c r="B35" s="14" t="s">
        <v>396</v>
      </c>
      <c r="C35" s="17" t="s">
        <v>498</v>
      </c>
      <c r="D35" s="14" t="s">
        <v>721</v>
      </c>
      <c r="E35" s="15" t="s">
        <v>394</v>
      </c>
      <c r="F35" s="56" t="n">
        <f aca="false">COUNTIF('Little Explorers 5-7'!$C:$C,$C35)+COUNTIF('Junior Makers 8-11'!$C:$C,$C35)+COUNTIF('Young Innovators 12-14'!$C:$C,$C35)+COUNTIF('Tech Leaders 15-17'!$C:$C,$C35)</f>
        <v>1</v>
      </c>
      <c r="G35" s="57" t="n">
        <f aca="false">COUNTIF('Little Explorers 5-7'!$C:$C,$C35)</f>
        <v>0</v>
      </c>
      <c r="H35" s="57" t="n">
        <f aca="false">COUNTIF('Junior Makers 8-11'!$C:$C,$C35)</f>
        <v>1</v>
      </c>
      <c r="I35" s="57" t="n">
        <f aca="false">COUNTIF('Young Innovators 12-14'!$C:$C,$C35)</f>
        <v>0</v>
      </c>
      <c r="J35" s="57" t="n">
        <f aca="false">COUNTIF('Tech Leaders 15-17'!$C:$C,$C35)</f>
        <v>0</v>
      </c>
      <c r="K35" s="58" t="n">
        <f aca="false">MAX(_xlfn.MAXIFS('Little Explorers 5-7'!$D:$D,'Little Explorers 5-7'!$C:$C,$C35,'Little Explorers 5-7'!$E:$E,"Per group"),_xlfn.MAXIFS('Junior Makers 8-11'!$D:$D,'Junior Makers 8-11'!$C:$C,$C35,'Junior Makers 8-11'!$E:$E,"Per group"),_xlfn.MAXIFS('Young Innovators 12-14'!$D:$D,'Young Innovators 12-14'!$C:$C,$C35,'Young Innovators 12-14'!$E:$E,"Per group"),_xlfn.MAXIFS('Tech Leaders 15-17'!$D:$D,'Tech Leaders 15-17'!$C:$C,$C35,'Tech Leaders 15-17'!$E:$E,"Per group"))</f>
        <v>1</v>
      </c>
      <c r="L35" s="59" t="n">
        <f aca="false">MAX(_xlfn.MAXIFS('Little Explorers 5-7'!$D:$D,'Little Explorers 5-7'!$C:$C,$C35,'Little Explorers 5-7'!$E:$E,"Per class"),_xlfn.MAXIFS('Junior Makers 8-11'!$D:$D,'Junior Makers 8-11'!$C:$C,$C35,'Junior Makers 8-11'!$E:$E,"Per class"),_xlfn.MAXIFS('Young Innovators 12-14'!$D:$D,'Young Innovators 12-14'!$C:$C,$C35,'Young Innovators 12-14'!$E:$E,"Per class"),_xlfn.MAXIFS('Tech Leaders 15-17'!$D:$D,'Tech Leaders 15-17'!$C:$C,$C35,'Tech Leaders 15-17'!$E:$E,"Per class"))</f>
        <v>0</v>
      </c>
      <c r="M35" s="14" t="s">
        <v>181</v>
      </c>
      <c r="N35" s="14"/>
    </row>
    <row r="36" customFormat="false" ht="15" hidden="false" customHeight="false" outlineLevel="0" collapsed="false">
      <c r="A36" s="14" t="n">
        <v>26</v>
      </c>
      <c r="B36" s="14" t="s">
        <v>396</v>
      </c>
      <c r="C36" s="17" t="s">
        <v>500</v>
      </c>
      <c r="D36" s="14" t="s">
        <v>722</v>
      </c>
      <c r="E36" s="15" t="s">
        <v>394</v>
      </c>
      <c r="F36" s="56" t="n">
        <f aca="false">COUNTIF('Little Explorers 5-7'!$C:$C,$C36)+COUNTIF('Junior Makers 8-11'!$C:$C,$C36)+COUNTIF('Young Innovators 12-14'!$C:$C,$C36)+COUNTIF('Tech Leaders 15-17'!$C:$C,$C36)</f>
        <v>6</v>
      </c>
      <c r="G36" s="57" t="n">
        <f aca="false">COUNTIF('Little Explorers 5-7'!$C:$C,$C36)</f>
        <v>0</v>
      </c>
      <c r="H36" s="57" t="n">
        <f aca="false">COUNTIF('Junior Makers 8-11'!$C:$C,$C36)</f>
        <v>2</v>
      </c>
      <c r="I36" s="57" t="n">
        <f aca="false">COUNTIF('Young Innovators 12-14'!$C:$C,$C36)</f>
        <v>2</v>
      </c>
      <c r="J36" s="57" t="n">
        <f aca="false">COUNTIF('Tech Leaders 15-17'!$C:$C,$C36)</f>
        <v>2</v>
      </c>
      <c r="K36" s="58" t="n">
        <f aca="false">MAX(_xlfn.MAXIFS('Little Explorers 5-7'!$D:$D,'Little Explorers 5-7'!$C:$C,$C36,'Little Explorers 5-7'!$E:$E,"Per group"),_xlfn.MAXIFS('Junior Makers 8-11'!$D:$D,'Junior Makers 8-11'!$C:$C,$C36,'Junior Makers 8-11'!$E:$E,"Per group"),_xlfn.MAXIFS('Young Innovators 12-14'!$D:$D,'Young Innovators 12-14'!$C:$C,$C36,'Young Innovators 12-14'!$E:$E,"Per group"),_xlfn.MAXIFS('Tech Leaders 15-17'!$D:$D,'Tech Leaders 15-17'!$C:$C,$C36,'Tech Leaders 15-17'!$E:$E,"Per group"))</f>
        <v>1</v>
      </c>
      <c r="L36" s="59" t="n">
        <f aca="false">MAX(_xlfn.MAXIFS('Little Explorers 5-7'!$D:$D,'Little Explorers 5-7'!$C:$C,$C36,'Little Explorers 5-7'!$E:$E,"Per class"),_xlfn.MAXIFS('Junior Makers 8-11'!$D:$D,'Junior Makers 8-11'!$C:$C,$C36,'Junior Makers 8-11'!$E:$E,"Per class"),_xlfn.MAXIFS('Young Innovators 12-14'!$D:$D,'Young Innovators 12-14'!$C:$C,$C36,'Young Innovators 12-14'!$E:$E,"Per class"),_xlfn.MAXIFS('Tech Leaders 15-17'!$D:$D,'Tech Leaders 15-17'!$C:$C,$C36,'Tech Leaders 15-17'!$E:$E,"Per class"))</f>
        <v>0</v>
      </c>
      <c r="M36" s="14" t="s">
        <v>723</v>
      </c>
      <c r="N36" s="14"/>
    </row>
    <row r="37" customFormat="false" ht="15" hidden="false" customHeight="false" outlineLevel="0" collapsed="false">
      <c r="A37" s="14" t="n">
        <v>27</v>
      </c>
      <c r="B37" s="14" t="s">
        <v>396</v>
      </c>
      <c r="C37" s="17" t="s">
        <v>556</v>
      </c>
      <c r="D37" s="14" t="s">
        <v>724</v>
      </c>
      <c r="E37" s="15" t="s">
        <v>394</v>
      </c>
      <c r="F37" s="56" t="n">
        <f aca="false">COUNTIF('Little Explorers 5-7'!$C:$C,$C37)+COUNTIF('Junior Makers 8-11'!$C:$C,$C37)+COUNTIF('Young Innovators 12-14'!$C:$C,$C37)+COUNTIF('Tech Leaders 15-17'!$C:$C,$C37)</f>
        <v>1</v>
      </c>
      <c r="G37" s="57" t="n">
        <f aca="false">COUNTIF('Little Explorers 5-7'!$C:$C,$C37)</f>
        <v>0</v>
      </c>
      <c r="H37" s="57" t="n">
        <f aca="false">COUNTIF('Junior Makers 8-11'!$C:$C,$C37)</f>
        <v>0</v>
      </c>
      <c r="I37" s="57" t="n">
        <f aca="false">COUNTIF('Young Innovators 12-14'!$C:$C,$C37)</f>
        <v>1</v>
      </c>
      <c r="J37" s="57" t="n">
        <f aca="false">COUNTIF('Tech Leaders 15-17'!$C:$C,$C37)</f>
        <v>0</v>
      </c>
      <c r="K37" s="58" t="n">
        <f aca="false">MAX(_xlfn.MAXIFS('Little Explorers 5-7'!$D:$D,'Little Explorers 5-7'!$C:$C,$C37,'Little Explorers 5-7'!$E:$E,"Per group"),_xlfn.MAXIFS('Junior Makers 8-11'!$D:$D,'Junior Makers 8-11'!$C:$C,$C37,'Junior Makers 8-11'!$E:$E,"Per group"),_xlfn.MAXIFS('Young Innovators 12-14'!$D:$D,'Young Innovators 12-14'!$C:$C,$C37,'Young Innovators 12-14'!$E:$E,"Per group"),_xlfn.MAXIFS('Tech Leaders 15-17'!$D:$D,'Tech Leaders 15-17'!$C:$C,$C37,'Tech Leaders 15-17'!$E:$E,"Per group"))</f>
        <v>2</v>
      </c>
      <c r="L37" s="59" t="n">
        <f aca="false">MAX(_xlfn.MAXIFS('Little Explorers 5-7'!$D:$D,'Little Explorers 5-7'!$C:$C,$C37,'Little Explorers 5-7'!$E:$E,"Per class"),_xlfn.MAXIFS('Junior Makers 8-11'!$D:$D,'Junior Makers 8-11'!$C:$C,$C37,'Junior Makers 8-11'!$E:$E,"Per class"),_xlfn.MAXIFS('Young Innovators 12-14'!$D:$D,'Young Innovators 12-14'!$C:$C,$C37,'Young Innovators 12-14'!$E:$E,"Per class"),_xlfn.MAXIFS('Tech Leaders 15-17'!$D:$D,'Tech Leaders 15-17'!$C:$C,$C37,'Tech Leaders 15-17'!$E:$E,"Per class"))</f>
        <v>0</v>
      </c>
      <c r="M37" s="14" t="s">
        <v>240</v>
      </c>
      <c r="N37" s="14"/>
    </row>
    <row r="38" customFormat="false" ht="15" hidden="false" customHeight="false" outlineLevel="0" collapsed="false">
      <c r="A38" s="14" t="n">
        <v>28</v>
      </c>
      <c r="B38" s="14" t="s">
        <v>396</v>
      </c>
      <c r="C38" s="17" t="s">
        <v>552</v>
      </c>
      <c r="D38" s="14" t="s">
        <v>725</v>
      </c>
      <c r="E38" s="15" t="s">
        <v>394</v>
      </c>
      <c r="F38" s="56" t="n">
        <f aca="false">COUNTIF('Little Explorers 5-7'!$C:$C,$C38)+COUNTIF('Junior Makers 8-11'!$C:$C,$C38)+COUNTIF('Young Innovators 12-14'!$C:$C,$C38)+COUNTIF('Tech Leaders 15-17'!$C:$C,$C38)</f>
        <v>4</v>
      </c>
      <c r="G38" s="57" t="n">
        <f aca="false">COUNTIF('Little Explorers 5-7'!$C:$C,$C38)</f>
        <v>0</v>
      </c>
      <c r="H38" s="57" t="n">
        <f aca="false">COUNTIF('Junior Makers 8-11'!$C:$C,$C38)</f>
        <v>0</v>
      </c>
      <c r="I38" s="57" t="n">
        <f aca="false">COUNTIF('Young Innovators 12-14'!$C:$C,$C38)</f>
        <v>2</v>
      </c>
      <c r="J38" s="57" t="n">
        <f aca="false">COUNTIF('Tech Leaders 15-17'!$C:$C,$C38)</f>
        <v>2</v>
      </c>
      <c r="K38" s="58" t="n">
        <f aca="false">MAX(_xlfn.MAXIFS('Little Explorers 5-7'!$D:$D,'Little Explorers 5-7'!$C:$C,$C38,'Little Explorers 5-7'!$E:$E,"Per group"),_xlfn.MAXIFS('Junior Makers 8-11'!$D:$D,'Junior Makers 8-11'!$C:$C,$C38,'Junior Makers 8-11'!$E:$E,"Per group"),_xlfn.MAXIFS('Young Innovators 12-14'!$D:$D,'Young Innovators 12-14'!$C:$C,$C38,'Young Innovators 12-14'!$E:$E,"Per group"),_xlfn.MAXIFS('Tech Leaders 15-17'!$D:$D,'Tech Leaders 15-17'!$C:$C,$C38,'Tech Leaders 15-17'!$E:$E,"Per group"))</f>
        <v>1</v>
      </c>
      <c r="L38" s="59" t="n">
        <f aca="false">MAX(_xlfn.MAXIFS('Little Explorers 5-7'!$D:$D,'Little Explorers 5-7'!$C:$C,$C38,'Little Explorers 5-7'!$E:$E,"Per class"),_xlfn.MAXIFS('Junior Makers 8-11'!$D:$D,'Junior Makers 8-11'!$C:$C,$C38,'Junior Makers 8-11'!$E:$E,"Per class"),_xlfn.MAXIFS('Young Innovators 12-14'!$D:$D,'Young Innovators 12-14'!$C:$C,$C38,'Young Innovators 12-14'!$E:$E,"Per class"),_xlfn.MAXIFS('Tech Leaders 15-17'!$D:$D,'Tech Leaders 15-17'!$C:$C,$C38,'Tech Leaders 15-17'!$E:$E,"Per class"))</f>
        <v>0</v>
      </c>
      <c r="M38" s="14" t="s">
        <v>726</v>
      </c>
      <c r="N38" s="14" t="s">
        <v>727</v>
      </c>
    </row>
    <row r="39" customFormat="false" ht="15" hidden="false" customHeight="false" outlineLevel="0" collapsed="false">
      <c r="A39" s="14" t="n">
        <v>29</v>
      </c>
      <c r="B39" s="14" t="s">
        <v>396</v>
      </c>
      <c r="C39" s="17" t="s">
        <v>622</v>
      </c>
      <c r="D39" s="14" t="s">
        <v>728</v>
      </c>
      <c r="E39" s="15" t="s">
        <v>394</v>
      </c>
      <c r="F39" s="56" t="n">
        <f aca="false">COUNTIF('Little Explorers 5-7'!$C:$C,$C39)+COUNTIF('Junior Makers 8-11'!$C:$C,$C39)+COUNTIF('Young Innovators 12-14'!$C:$C,$C39)+COUNTIF('Tech Leaders 15-17'!$C:$C,$C39)</f>
        <v>1</v>
      </c>
      <c r="G39" s="57" t="n">
        <f aca="false">COUNTIF('Little Explorers 5-7'!$C:$C,$C39)</f>
        <v>0</v>
      </c>
      <c r="H39" s="57" t="n">
        <f aca="false">COUNTIF('Junior Makers 8-11'!$C:$C,$C39)</f>
        <v>0</v>
      </c>
      <c r="I39" s="57" t="n">
        <f aca="false">COUNTIF('Young Innovators 12-14'!$C:$C,$C39)</f>
        <v>0</v>
      </c>
      <c r="J39" s="57" t="n">
        <f aca="false">COUNTIF('Tech Leaders 15-17'!$C:$C,$C39)</f>
        <v>1</v>
      </c>
      <c r="K39" s="58" t="n">
        <f aca="false">MAX(_xlfn.MAXIFS('Little Explorers 5-7'!$D:$D,'Little Explorers 5-7'!$C:$C,$C39,'Little Explorers 5-7'!$E:$E,"Per group"),_xlfn.MAXIFS('Junior Makers 8-11'!$D:$D,'Junior Makers 8-11'!$C:$C,$C39,'Junior Makers 8-11'!$E:$E,"Per group"),_xlfn.MAXIFS('Young Innovators 12-14'!$D:$D,'Young Innovators 12-14'!$C:$C,$C39,'Young Innovators 12-14'!$E:$E,"Per group"),_xlfn.MAXIFS('Tech Leaders 15-17'!$D:$D,'Tech Leaders 15-17'!$C:$C,$C39,'Tech Leaders 15-17'!$E:$E,"Per group"))</f>
        <v>1</v>
      </c>
      <c r="L39" s="59" t="n">
        <f aca="false">MAX(_xlfn.MAXIFS('Little Explorers 5-7'!$D:$D,'Little Explorers 5-7'!$C:$C,$C39,'Little Explorers 5-7'!$E:$E,"Per class"),_xlfn.MAXIFS('Junior Makers 8-11'!$D:$D,'Junior Makers 8-11'!$C:$C,$C39,'Junior Makers 8-11'!$E:$E,"Per class"),_xlfn.MAXIFS('Young Innovators 12-14'!$D:$D,'Young Innovators 12-14'!$C:$C,$C39,'Young Innovators 12-14'!$E:$E,"Per class"),_xlfn.MAXIFS('Tech Leaders 15-17'!$D:$D,'Tech Leaders 15-17'!$C:$C,$C39,'Tech Leaders 15-17'!$E:$E,"Per class"))</f>
        <v>0</v>
      </c>
      <c r="M39" s="14" t="s">
        <v>314</v>
      </c>
      <c r="N39" s="14"/>
    </row>
    <row r="40" customFormat="false" ht="15" hidden="false" customHeight="false" outlineLevel="0" collapsed="false">
      <c r="A40" s="14" t="n">
        <v>30</v>
      </c>
      <c r="B40" s="14" t="s">
        <v>396</v>
      </c>
      <c r="C40" s="17" t="s">
        <v>588</v>
      </c>
      <c r="D40" s="14" t="s">
        <v>729</v>
      </c>
      <c r="E40" s="15" t="s">
        <v>394</v>
      </c>
      <c r="F40" s="56" t="n">
        <f aca="false">COUNTIF('Little Explorers 5-7'!$C:$C,$C40)+COUNTIF('Junior Makers 8-11'!$C:$C,$C40)+COUNTIF('Young Innovators 12-14'!$C:$C,$C40)+COUNTIF('Tech Leaders 15-17'!$C:$C,$C40)</f>
        <v>1</v>
      </c>
      <c r="G40" s="57" t="n">
        <f aca="false">COUNTIF('Little Explorers 5-7'!$C:$C,$C40)</f>
        <v>0</v>
      </c>
      <c r="H40" s="57" t="n">
        <f aca="false">COUNTIF('Junior Makers 8-11'!$C:$C,$C40)</f>
        <v>0</v>
      </c>
      <c r="I40" s="57" t="n">
        <f aca="false">COUNTIF('Young Innovators 12-14'!$C:$C,$C40)</f>
        <v>1</v>
      </c>
      <c r="J40" s="57" t="n">
        <f aca="false">COUNTIF('Tech Leaders 15-17'!$C:$C,$C40)</f>
        <v>0</v>
      </c>
      <c r="K40" s="58" t="n">
        <f aca="false">MAX(_xlfn.MAXIFS('Little Explorers 5-7'!$D:$D,'Little Explorers 5-7'!$C:$C,$C40,'Little Explorers 5-7'!$E:$E,"Per group"),_xlfn.MAXIFS('Junior Makers 8-11'!$D:$D,'Junior Makers 8-11'!$C:$C,$C40,'Junior Makers 8-11'!$E:$E,"Per group"),_xlfn.MAXIFS('Young Innovators 12-14'!$D:$D,'Young Innovators 12-14'!$C:$C,$C40,'Young Innovators 12-14'!$E:$E,"Per group"),_xlfn.MAXIFS('Tech Leaders 15-17'!$D:$D,'Tech Leaders 15-17'!$C:$C,$C40,'Tech Leaders 15-17'!$E:$E,"Per group"))</f>
        <v>1</v>
      </c>
      <c r="L40" s="59" t="n">
        <f aca="false">MAX(_xlfn.MAXIFS('Little Explorers 5-7'!$D:$D,'Little Explorers 5-7'!$C:$C,$C40,'Little Explorers 5-7'!$E:$E,"Per class"),_xlfn.MAXIFS('Junior Makers 8-11'!$D:$D,'Junior Makers 8-11'!$C:$C,$C40,'Junior Makers 8-11'!$E:$E,"Per class"),_xlfn.MAXIFS('Young Innovators 12-14'!$D:$D,'Young Innovators 12-14'!$C:$C,$C40,'Young Innovators 12-14'!$E:$E,"Per class"),_xlfn.MAXIFS('Tech Leaders 15-17'!$D:$D,'Tech Leaders 15-17'!$C:$C,$C40,'Tech Leaders 15-17'!$E:$E,"Per class"))</f>
        <v>0</v>
      </c>
      <c r="M40" s="14" t="s">
        <v>267</v>
      </c>
      <c r="N40" s="14"/>
    </row>
    <row r="41" customFormat="false" ht="35.05" hidden="false" customHeight="false" outlineLevel="0" collapsed="false">
      <c r="A41" s="14" t="n">
        <v>31</v>
      </c>
      <c r="B41" s="14" t="s">
        <v>396</v>
      </c>
      <c r="C41" s="17" t="s">
        <v>397</v>
      </c>
      <c r="D41" s="14" t="s">
        <v>730</v>
      </c>
      <c r="E41" s="15" t="s">
        <v>394</v>
      </c>
      <c r="F41" s="56" t="n">
        <f aca="false">COUNTIF('Little Explorers 5-7'!$C:$C,$C41)+COUNTIF('Junior Makers 8-11'!$C:$C,$C41)+COUNTIF('Young Innovators 12-14'!$C:$C,$C41)+COUNTIF('Tech Leaders 15-17'!$C:$C,$C41)</f>
        <v>18</v>
      </c>
      <c r="G41" s="57" t="n">
        <f aca="false">COUNTIF('Little Explorers 5-7'!$C:$C,$C41)</f>
        <v>6</v>
      </c>
      <c r="H41" s="57" t="n">
        <f aca="false">COUNTIF('Junior Makers 8-11'!$C:$C,$C41)</f>
        <v>5</v>
      </c>
      <c r="I41" s="57" t="n">
        <f aca="false">COUNTIF('Young Innovators 12-14'!$C:$C,$C41)</f>
        <v>5</v>
      </c>
      <c r="J41" s="57" t="n">
        <f aca="false">COUNTIF('Tech Leaders 15-17'!$C:$C,$C41)</f>
        <v>2</v>
      </c>
      <c r="K41" s="58" t="n">
        <f aca="false">MAX(_xlfn.MAXIFS('Little Explorers 5-7'!$D:$D,'Little Explorers 5-7'!$C:$C,$C41,'Little Explorers 5-7'!$E:$E,"Per group"),_xlfn.MAXIFS('Junior Makers 8-11'!$D:$D,'Junior Makers 8-11'!$C:$C,$C41,'Junior Makers 8-11'!$E:$E,"Per group"),_xlfn.MAXIFS('Young Innovators 12-14'!$D:$D,'Young Innovators 12-14'!$C:$C,$C41,'Young Innovators 12-14'!$E:$E,"Per group"),_xlfn.MAXIFS('Tech Leaders 15-17'!$D:$D,'Tech Leaders 15-17'!$C:$C,$C41,'Tech Leaders 15-17'!$E:$E,"Per group"))</f>
        <v>1</v>
      </c>
      <c r="L41" s="59" t="n">
        <f aca="false">MAX(_xlfn.MAXIFS('Little Explorers 5-7'!$D:$D,'Little Explorers 5-7'!$C:$C,$C41,'Little Explorers 5-7'!$E:$E,"Per class"),_xlfn.MAXIFS('Junior Makers 8-11'!$D:$D,'Junior Makers 8-11'!$C:$C,$C41,'Junior Makers 8-11'!$E:$E,"Per class"),_xlfn.MAXIFS('Young Innovators 12-14'!$D:$D,'Young Innovators 12-14'!$C:$C,$C41,'Young Innovators 12-14'!$E:$E,"Per class"),_xlfn.MAXIFS('Tech Leaders 15-17'!$D:$D,'Tech Leaders 15-17'!$C:$C,$C41,'Tech Leaders 15-17'!$E:$E,"Per class"))</f>
        <v>0</v>
      </c>
      <c r="M41" s="14" t="s">
        <v>731</v>
      </c>
      <c r="N41" s="14"/>
    </row>
    <row r="42" customFormat="false" ht="15" hidden="false" customHeight="false" outlineLevel="0" collapsed="false">
      <c r="A42" s="4"/>
      <c r="B42" s="55" t="s">
        <v>732</v>
      </c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</row>
    <row r="43" customFormat="false" ht="46.25" hidden="false" customHeight="false" outlineLevel="0" collapsed="false">
      <c r="A43" s="14" t="n">
        <v>32</v>
      </c>
      <c r="B43" s="14" t="s">
        <v>377</v>
      </c>
      <c r="C43" s="17" t="s">
        <v>378</v>
      </c>
      <c r="D43" s="14" t="s">
        <v>733</v>
      </c>
      <c r="E43" s="60" t="s">
        <v>380</v>
      </c>
      <c r="F43" s="56" t="n">
        <f aca="false">COUNTIF('Little Explorers 5-7'!$C:$C,$C43)+COUNTIF('Junior Makers 8-11'!$C:$C,$C43)+COUNTIF('Young Innovators 12-14'!$C:$C,$C43)+COUNTIF('Tech Leaders 15-17'!$C:$C,$C43)</f>
        <v>23</v>
      </c>
      <c r="G43" s="57" t="n">
        <f aca="false">COUNTIF('Little Explorers 5-7'!$C:$C,$C43)</f>
        <v>10</v>
      </c>
      <c r="H43" s="57" t="n">
        <f aca="false">COUNTIF('Junior Makers 8-11'!$C:$C,$C43)</f>
        <v>7</v>
      </c>
      <c r="I43" s="57" t="n">
        <f aca="false">COUNTIF('Young Innovators 12-14'!$C:$C,$C43)</f>
        <v>4</v>
      </c>
      <c r="J43" s="57" t="n">
        <f aca="false">COUNTIF('Tech Leaders 15-17'!$C:$C,$C43)</f>
        <v>2</v>
      </c>
      <c r="K43" s="58" t="n">
        <f aca="false">MAX(_xlfn.MAXIFS('Little Explorers 5-7'!$D:$D,'Little Explorers 5-7'!$C:$C,$C43,'Little Explorers 5-7'!$E:$E,"Per group"),_xlfn.MAXIFS('Junior Makers 8-11'!$D:$D,'Junior Makers 8-11'!$C:$C,$C43,'Junior Makers 8-11'!$E:$E,"Per group"),_xlfn.MAXIFS('Young Innovators 12-14'!$D:$D,'Young Innovators 12-14'!$C:$C,$C43,'Young Innovators 12-14'!$E:$E,"Per group"),_xlfn.MAXIFS('Tech Leaders 15-17'!$D:$D,'Tech Leaders 15-17'!$C:$C,$C43,'Tech Leaders 15-17'!$E:$E,"Per group"))</f>
        <v>6</v>
      </c>
      <c r="L43" s="59" t="n">
        <f aca="false">MAX(_xlfn.MAXIFS('Little Explorers 5-7'!$D:$D,'Little Explorers 5-7'!$C:$C,$C43,'Little Explorers 5-7'!$E:$E,"Per class"),_xlfn.MAXIFS('Junior Makers 8-11'!$D:$D,'Junior Makers 8-11'!$C:$C,$C43,'Junior Makers 8-11'!$E:$E,"Per class"),_xlfn.MAXIFS('Young Innovators 12-14'!$D:$D,'Young Innovators 12-14'!$C:$C,$C43,'Young Innovators 12-14'!$E:$E,"Per class"),_xlfn.MAXIFS('Tech Leaders 15-17'!$D:$D,'Tech Leaders 15-17'!$C:$C,$C43,'Tech Leaders 15-17'!$E:$E,"Per class"))</f>
        <v>0</v>
      </c>
      <c r="M43" s="14" t="s">
        <v>734</v>
      </c>
      <c r="N43" s="14" t="s">
        <v>735</v>
      </c>
    </row>
    <row r="44" customFormat="false" ht="15" hidden="false" customHeight="false" outlineLevel="0" collapsed="false">
      <c r="A44" s="14" t="n">
        <v>33</v>
      </c>
      <c r="B44" s="14" t="s">
        <v>377</v>
      </c>
      <c r="C44" s="17" t="s">
        <v>524</v>
      </c>
      <c r="D44" s="14" t="s">
        <v>736</v>
      </c>
      <c r="E44" s="15" t="s">
        <v>394</v>
      </c>
      <c r="F44" s="56" t="n">
        <f aca="false">COUNTIF('Little Explorers 5-7'!$C:$C,$C44)+COUNTIF('Junior Makers 8-11'!$C:$C,$C44)+COUNTIF('Young Innovators 12-14'!$C:$C,$C44)+COUNTIF('Tech Leaders 15-17'!$C:$C,$C44)</f>
        <v>1</v>
      </c>
      <c r="G44" s="57" t="n">
        <f aca="false">COUNTIF('Little Explorers 5-7'!$C:$C,$C44)</f>
        <v>0</v>
      </c>
      <c r="H44" s="57" t="n">
        <f aca="false">COUNTIF('Junior Makers 8-11'!$C:$C,$C44)</f>
        <v>1</v>
      </c>
      <c r="I44" s="57" t="n">
        <f aca="false">COUNTIF('Young Innovators 12-14'!$C:$C,$C44)</f>
        <v>0</v>
      </c>
      <c r="J44" s="57" t="n">
        <f aca="false">COUNTIF('Tech Leaders 15-17'!$C:$C,$C44)</f>
        <v>0</v>
      </c>
      <c r="K44" s="58" t="n">
        <f aca="false">MAX(_xlfn.MAXIFS('Little Explorers 5-7'!$D:$D,'Little Explorers 5-7'!$C:$C,$C44,'Little Explorers 5-7'!$E:$E,"Per group"),_xlfn.MAXIFS('Junior Makers 8-11'!$D:$D,'Junior Makers 8-11'!$C:$C,$C44,'Junior Makers 8-11'!$E:$E,"Per group"),_xlfn.MAXIFS('Young Innovators 12-14'!$D:$D,'Young Innovators 12-14'!$C:$C,$C44,'Young Innovators 12-14'!$E:$E,"Per group"),_xlfn.MAXIFS('Tech Leaders 15-17'!$D:$D,'Tech Leaders 15-17'!$C:$C,$C44,'Tech Leaders 15-17'!$E:$E,"Per group"))</f>
        <v>1</v>
      </c>
      <c r="L44" s="59" t="n">
        <f aca="false">MAX(_xlfn.MAXIFS('Little Explorers 5-7'!$D:$D,'Little Explorers 5-7'!$C:$C,$C44,'Little Explorers 5-7'!$E:$E,"Per class"),_xlfn.MAXIFS('Junior Makers 8-11'!$D:$D,'Junior Makers 8-11'!$C:$C,$C44,'Junior Makers 8-11'!$E:$E,"Per class"),_xlfn.MAXIFS('Young Innovators 12-14'!$D:$D,'Young Innovators 12-14'!$C:$C,$C44,'Young Innovators 12-14'!$E:$E,"Per class"),_xlfn.MAXIFS('Tech Leaders 15-17'!$D:$D,'Tech Leaders 15-17'!$C:$C,$C44,'Tech Leaders 15-17'!$E:$E,"Per class"))</f>
        <v>0</v>
      </c>
      <c r="M44" s="14" t="s">
        <v>200</v>
      </c>
      <c r="N44" s="14"/>
    </row>
    <row r="45" customFormat="false" ht="23.85" hidden="false" customHeight="false" outlineLevel="0" collapsed="false">
      <c r="A45" s="14" t="n">
        <v>34</v>
      </c>
      <c r="B45" s="14" t="s">
        <v>377</v>
      </c>
      <c r="C45" s="17" t="s">
        <v>478</v>
      </c>
      <c r="D45" s="14" t="s">
        <v>737</v>
      </c>
      <c r="E45" s="15" t="s">
        <v>394</v>
      </c>
      <c r="F45" s="56" t="n">
        <f aca="false">COUNTIF('Little Explorers 5-7'!$C:$C,$C45)+COUNTIF('Junior Makers 8-11'!$C:$C,$C45)+COUNTIF('Young Innovators 12-14'!$C:$C,$C45)+COUNTIF('Tech Leaders 15-17'!$C:$C,$C45)</f>
        <v>12</v>
      </c>
      <c r="G45" s="57" t="n">
        <f aca="false">COUNTIF('Little Explorers 5-7'!$C:$C,$C45)</f>
        <v>0</v>
      </c>
      <c r="H45" s="57" t="n">
        <f aca="false">COUNTIF('Junior Makers 8-11'!$C:$C,$C45)</f>
        <v>5</v>
      </c>
      <c r="I45" s="57" t="n">
        <f aca="false">COUNTIF('Young Innovators 12-14'!$C:$C,$C45)</f>
        <v>5</v>
      </c>
      <c r="J45" s="57" t="n">
        <f aca="false">COUNTIF('Tech Leaders 15-17'!$C:$C,$C45)</f>
        <v>2</v>
      </c>
      <c r="K45" s="58" t="n">
        <f aca="false">MAX(_xlfn.MAXIFS('Little Explorers 5-7'!$D:$D,'Little Explorers 5-7'!$C:$C,$C45,'Little Explorers 5-7'!$E:$E,"Per group"),_xlfn.MAXIFS('Junior Makers 8-11'!$D:$D,'Junior Makers 8-11'!$C:$C,$C45,'Junior Makers 8-11'!$E:$E,"Per group"),_xlfn.MAXIFS('Young Innovators 12-14'!$D:$D,'Young Innovators 12-14'!$C:$C,$C45,'Young Innovators 12-14'!$E:$E,"Per group"),_xlfn.MAXIFS('Tech Leaders 15-17'!$D:$D,'Tech Leaders 15-17'!$C:$C,$C45,'Tech Leaders 15-17'!$E:$E,"Per group"))</f>
        <v>1</v>
      </c>
      <c r="L45" s="59" t="n">
        <f aca="false">MAX(_xlfn.MAXIFS('Little Explorers 5-7'!$D:$D,'Little Explorers 5-7'!$C:$C,$C45,'Little Explorers 5-7'!$E:$E,"Per class"),_xlfn.MAXIFS('Junior Makers 8-11'!$D:$D,'Junior Makers 8-11'!$C:$C,$C45,'Junior Makers 8-11'!$E:$E,"Per class"),_xlfn.MAXIFS('Young Innovators 12-14'!$D:$D,'Young Innovators 12-14'!$C:$C,$C45,'Young Innovators 12-14'!$E:$E,"Per class"),_xlfn.MAXIFS('Tech Leaders 15-17'!$D:$D,'Tech Leaders 15-17'!$C:$C,$C45,'Tech Leaders 15-17'!$E:$E,"Per class"))</f>
        <v>0</v>
      </c>
      <c r="M45" s="14" t="s">
        <v>738</v>
      </c>
      <c r="N45" s="14" t="s">
        <v>739</v>
      </c>
    </row>
    <row r="46" customFormat="false" ht="15" hidden="false" customHeight="false" outlineLevel="0" collapsed="false">
      <c r="A46" s="14" t="n">
        <v>35</v>
      </c>
      <c r="B46" s="14" t="s">
        <v>377</v>
      </c>
      <c r="C46" s="17" t="s">
        <v>553</v>
      </c>
      <c r="D46" s="14" t="s">
        <v>740</v>
      </c>
      <c r="E46" s="15" t="s">
        <v>394</v>
      </c>
      <c r="F46" s="56" t="n">
        <f aca="false">COUNTIF('Little Explorers 5-7'!$C:$C,$C46)+COUNTIF('Junior Makers 8-11'!$C:$C,$C46)+COUNTIF('Young Innovators 12-14'!$C:$C,$C46)+COUNTIF('Tech Leaders 15-17'!$C:$C,$C46)</f>
        <v>3</v>
      </c>
      <c r="G46" s="57" t="n">
        <f aca="false">COUNTIF('Little Explorers 5-7'!$C:$C,$C46)</f>
        <v>0</v>
      </c>
      <c r="H46" s="57" t="n">
        <f aca="false">COUNTIF('Junior Makers 8-11'!$C:$C,$C46)</f>
        <v>0</v>
      </c>
      <c r="I46" s="57" t="n">
        <f aca="false">COUNTIF('Young Innovators 12-14'!$C:$C,$C46)</f>
        <v>1</v>
      </c>
      <c r="J46" s="57" t="n">
        <f aca="false">COUNTIF('Tech Leaders 15-17'!$C:$C,$C46)</f>
        <v>2</v>
      </c>
      <c r="K46" s="58" t="n">
        <f aca="false">MAX(_xlfn.MAXIFS('Little Explorers 5-7'!$D:$D,'Little Explorers 5-7'!$C:$C,$C46,'Little Explorers 5-7'!$E:$E,"Per group"),_xlfn.MAXIFS('Junior Makers 8-11'!$D:$D,'Junior Makers 8-11'!$C:$C,$C46,'Junior Makers 8-11'!$E:$E,"Per group"),_xlfn.MAXIFS('Young Innovators 12-14'!$D:$D,'Young Innovators 12-14'!$C:$C,$C46,'Young Innovators 12-14'!$E:$E,"Per group"),_xlfn.MAXIFS('Tech Leaders 15-17'!$D:$D,'Tech Leaders 15-17'!$C:$C,$C46,'Tech Leaders 15-17'!$E:$E,"Per group"))</f>
        <v>2</v>
      </c>
      <c r="L46" s="59" t="n">
        <f aca="false">MAX(_xlfn.MAXIFS('Little Explorers 5-7'!$D:$D,'Little Explorers 5-7'!$C:$C,$C46,'Little Explorers 5-7'!$E:$E,"Per class"),_xlfn.MAXIFS('Junior Makers 8-11'!$D:$D,'Junior Makers 8-11'!$C:$C,$C46,'Junior Makers 8-11'!$E:$E,"Per class"),_xlfn.MAXIFS('Young Innovators 12-14'!$D:$D,'Young Innovators 12-14'!$C:$C,$C46,'Young Innovators 12-14'!$E:$E,"Per class"),_xlfn.MAXIFS('Tech Leaders 15-17'!$D:$D,'Tech Leaders 15-17'!$C:$C,$C46,'Tech Leaders 15-17'!$E:$E,"Per class"))</f>
        <v>0</v>
      </c>
      <c r="M46" s="14" t="s">
        <v>741</v>
      </c>
      <c r="N46" s="14" t="s">
        <v>742</v>
      </c>
    </row>
    <row r="47" customFormat="false" ht="15" hidden="false" customHeight="false" outlineLevel="0" collapsed="false">
      <c r="A47" s="14" t="n">
        <v>36</v>
      </c>
      <c r="B47" s="14" t="s">
        <v>377</v>
      </c>
      <c r="C47" s="17" t="s">
        <v>623</v>
      </c>
      <c r="D47" s="14" t="s">
        <v>743</v>
      </c>
      <c r="E47" s="15" t="s">
        <v>394</v>
      </c>
      <c r="F47" s="56" t="n">
        <f aca="false">COUNTIF('Little Explorers 5-7'!$C:$C,$C47)+COUNTIF('Junior Makers 8-11'!$C:$C,$C47)+COUNTIF('Young Innovators 12-14'!$C:$C,$C47)+COUNTIF('Tech Leaders 15-17'!$C:$C,$C47)</f>
        <v>2</v>
      </c>
      <c r="G47" s="57" t="n">
        <f aca="false">COUNTIF('Little Explorers 5-7'!$C:$C,$C47)</f>
        <v>0</v>
      </c>
      <c r="H47" s="57" t="n">
        <f aca="false">COUNTIF('Junior Makers 8-11'!$C:$C,$C47)</f>
        <v>0</v>
      </c>
      <c r="I47" s="57" t="n">
        <f aca="false">COUNTIF('Young Innovators 12-14'!$C:$C,$C47)</f>
        <v>0</v>
      </c>
      <c r="J47" s="57" t="n">
        <f aca="false">COUNTIF('Tech Leaders 15-17'!$C:$C,$C47)</f>
        <v>2</v>
      </c>
      <c r="K47" s="58" t="n">
        <f aca="false">MAX(_xlfn.MAXIFS('Little Explorers 5-7'!$D:$D,'Little Explorers 5-7'!$C:$C,$C47,'Little Explorers 5-7'!$E:$E,"Per group"),_xlfn.MAXIFS('Junior Makers 8-11'!$D:$D,'Junior Makers 8-11'!$C:$C,$C47,'Junior Makers 8-11'!$E:$E,"Per group"),_xlfn.MAXIFS('Young Innovators 12-14'!$D:$D,'Young Innovators 12-14'!$C:$C,$C47,'Young Innovators 12-14'!$E:$E,"Per group"),_xlfn.MAXIFS('Tech Leaders 15-17'!$D:$D,'Tech Leaders 15-17'!$C:$C,$C47,'Tech Leaders 15-17'!$E:$E,"Per group"))</f>
        <v>1</v>
      </c>
      <c r="L47" s="59" t="n">
        <f aca="false">MAX(_xlfn.MAXIFS('Little Explorers 5-7'!$D:$D,'Little Explorers 5-7'!$C:$C,$C47,'Little Explorers 5-7'!$E:$E,"Per class"),_xlfn.MAXIFS('Junior Makers 8-11'!$D:$D,'Junior Makers 8-11'!$C:$C,$C47,'Junior Makers 8-11'!$E:$E,"Per class"),_xlfn.MAXIFS('Young Innovators 12-14'!$D:$D,'Young Innovators 12-14'!$C:$C,$C47,'Young Innovators 12-14'!$E:$E,"Per class"),_xlfn.MAXIFS('Tech Leaders 15-17'!$D:$D,'Tech Leaders 15-17'!$C:$C,$C47,'Tech Leaders 15-17'!$E:$E,"Per class"))</f>
        <v>0</v>
      </c>
      <c r="M47" s="14" t="s">
        <v>744</v>
      </c>
      <c r="N47" s="14"/>
    </row>
    <row r="48" customFormat="false" ht="15" hidden="false" customHeight="false" outlineLevel="0" collapsed="false">
      <c r="A48" s="4"/>
      <c r="B48" s="55" t="s">
        <v>745</v>
      </c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</row>
    <row r="49" customFormat="false" ht="35.05" hidden="false" customHeight="false" outlineLevel="0" collapsed="false">
      <c r="A49" s="14" t="n">
        <v>37</v>
      </c>
      <c r="B49" s="14" t="s">
        <v>398</v>
      </c>
      <c r="C49" s="17" t="s">
        <v>400</v>
      </c>
      <c r="D49" s="14" t="s">
        <v>746</v>
      </c>
      <c r="E49" s="60" t="s">
        <v>380</v>
      </c>
      <c r="F49" s="56" t="n">
        <f aca="false">COUNTIF('Little Explorers 5-7'!$C:$C,$C49)+COUNTIF('Junior Makers 8-11'!$C:$C,$C49)+COUNTIF('Young Innovators 12-14'!$C:$C,$C49)+COUNTIF('Tech Leaders 15-17'!$C:$C,$C49)</f>
        <v>21</v>
      </c>
      <c r="G49" s="57" t="n">
        <f aca="false">COUNTIF('Little Explorers 5-7'!$C:$C,$C49)</f>
        <v>8</v>
      </c>
      <c r="H49" s="57" t="n">
        <f aca="false">COUNTIF('Junior Makers 8-11'!$C:$C,$C49)</f>
        <v>7</v>
      </c>
      <c r="I49" s="57" t="n">
        <f aca="false">COUNTIF('Young Innovators 12-14'!$C:$C,$C49)</f>
        <v>4</v>
      </c>
      <c r="J49" s="57" t="n">
        <f aca="false">COUNTIF('Tech Leaders 15-17'!$C:$C,$C49)</f>
        <v>2</v>
      </c>
      <c r="K49" s="58" t="n">
        <f aca="false">MAX(_xlfn.MAXIFS('Little Explorers 5-7'!$D:$D,'Little Explorers 5-7'!$C:$C,$C49,'Little Explorers 5-7'!$E:$E,"Per group"),_xlfn.MAXIFS('Junior Makers 8-11'!$D:$D,'Junior Makers 8-11'!$C:$C,$C49,'Junior Makers 8-11'!$E:$E,"Per group"),_xlfn.MAXIFS('Young Innovators 12-14'!$D:$D,'Young Innovators 12-14'!$C:$C,$C49,'Young Innovators 12-14'!$E:$E,"Per group"),_xlfn.MAXIFS('Tech Leaders 15-17'!$D:$D,'Tech Leaders 15-17'!$C:$C,$C49,'Tech Leaders 15-17'!$E:$E,"Per group"))</f>
        <v>6</v>
      </c>
      <c r="L49" s="59" t="n">
        <f aca="false">MAX(_xlfn.MAXIFS('Little Explorers 5-7'!$D:$D,'Little Explorers 5-7'!$C:$C,$C49,'Little Explorers 5-7'!$E:$E,"Per class"),_xlfn.MAXIFS('Junior Makers 8-11'!$D:$D,'Junior Makers 8-11'!$C:$C,$C49,'Junior Makers 8-11'!$E:$E,"Per class"),_xlfn.MAXIFS('Young Innovators 12-14'!$D:$D,'Young Innovators 12-14'!$C:$C,$C49,'Young Innovators 12-14'!$E:$E,"Per class"),_xlfn.MAXIFS('Tech Leaders 15-17'!$D:$D,'Tech Leaders 15-17'!$C:$C,$C49,'Tech Leaders 15-17'!$E:$E,"Per class"))</f>
        <v>0</v>
      </c>
      <c r="M49" s="14" t="s">
        <v>747</v>
      </c>
      <c r="N49" s="14"/>
    </row>
    <row r="50" customFormat="false" ht="15" hidden="false" customHeight="false" outlineLevel="0" collapsed="false">
      <c r="A50" s="14" t="n">
        <v>38</v>
      </c>
      <c r="B50" s="14" t="s">
        <v>398</v>
      </c>
      <c r="C50" s="17" t="s">
        <v>525</v>
      </c>
      <c r="D50" s="14" t="s">
        <v>748</v>
      </c>
      <c r="E50" s="60" t="s">
        <v>380</v>
      </c>
      <c r="F50" s="56" t="n">
        <f aca="false">COUNTIF('Little Explorers 5-7'!$C:$C,$C50)+COUNTIF('Junior Makers 8-11'!$C:$C,$C50)+COUNTIF('Young Innovators 12-14'!$C:$C,$C50)+COUNTIF('Tech Leaders 15-17'!$C:$C,$C50)</f>
        <v>4</v>
      </c>
      <c r="G50" s="57" t="n">
        <f aca="false">COUNTIF('Little Explorers 5-7'!$C:$C,$C50)</f>
        <v>0</v>
      </c>
      <c r="H50" s="57" t="n">
        <f aca="false">COUNTIF('Junior Makers 8-11'!$C:$C,$C50)</f>
        <v>1</v>
      </c>
      <c r="I50" s="57" t="n">
        <f aca="false">COUNTIF('Young Innovators 12-14'!$C:$C,$C50)</f>
        <v>2</v>
      </c>
      <c r="J50" s="57" t="n">
        <f aca="false">COUNTIF('Tech Leaders 15-17'!$C:$C,$C50)</f>
        <v>1</v>
      </c>
      <c r="K50" s="58" t="n">
        <f aca="false">MAX(_xlfn.MAXIFS('Little Explorers 5-7'!$D:$D,'Little Explorers 5-7'!$C:$C,$C50,'Little Explorers 5-7'!$E:$E,"Per group"),_xlfn.MAXIFS('Junior Makers 8-11'!$D:$D,'Junior Makers 8-11'!$C:$C,$C50,'Junior Makers 8-11'!$E:$E,"Per group"),_xlfn.MAXIFS('Young Innovators 12-14'!$D:$D,'Young Innovators 12-14'!$C:$C,$C50,'Young Innovators 12-14'!$E:$E,"Per group"),_xlfn.MAXIFS('Tech Leaders 15-17'!$D:$D,'Tech Leaders 15-17'!$C:$C,$C50,'Tech Leaders 15-17'!$E:$E,"Per group"))</f>
        <v>3</v>
      </c>
      <c r="L50" s="59" t="n">
        <f aca="false">MAX(_xlfn.MAXIFS('Little Explorers 5-7'!$D:$D,'Little Explorers 5-7'!$C:$C,$C50,'Little Explorers 5-7'!$E:$E,"Per class"),_xlfn.MAXIFS('Junior Makers 8-11'!$D:$D,'Junior Makers 8-11'!$C:$C,$C50,'Junior Makers 8-11'!$E:$E,"Per class"),_xlfn.MAXIFS('Young Innovators 12-14'!$D:$D,'Young Innovators 12-14'!$C:$C,$C50,'Young Innovators 12-14'!$E:$E,"Per class"),_xlfn.MAXIFS('Tech Leaders 15-17'!$D:$D,'Tech Leaders 15-17'!$C:$C,$C50,'Tech Leaders 15-17'!$E:$E,"Per class"))</f>
        <v>0</v>
      </c>
      <c r="M50" s="14" t="s">
        <v>749</v>
      </c>
      <c r="N50" s="14"/>
    </row>
    <row r="51" customFormat="false" ht="35.05" hidden="false" customHeight="false" outlineLevel="0" collapsed="false">
      <c r="A51" s="14" t="n">
        <v>39</v>
      </c>
      <c r="B51" s="14" t="s">
        <v>398</v>
      </c>
      <c r="C51" s="17" t="s">
        <v>401</v>
      </c>
      <c r="D51" s="14" t="s">
        <v>750</v>
      </c>
      <c r="E51" s="60" t="s">
        <v>380</v>
      </c>
      <c r="F51" s="56" t="n">
        <f aca="false">COUNTIF('Little Explorers 5-7'!$C:$C,$C51)+COUNTIF('Junior Makers 8-11'!$C:$C,$C51)+COUNTIF('Young Innovators 12-14'!$C:$C,$C51)+COUNTIF('Tech Leaders 15-17'!$C:$C,$C51)</f>
        <v>19</v>
      </c>
      <c r="G51" s="57" t="n">
        <f aca="false">COUNTIF('Little Explorers 5-7'!$C:$C,$C51)</f>
        <v>4</v>
      </c>
      <c r="H51" s="57" t="n">
        <f aca="false">COUNTIF('Junior Makers 8-11'!$C:$C,$C51)</f>
        <v>6</v>
      </c>
      <c r="I51" s="57" t="n">
        <f aca="false">COUNTIF('Young Innovators 12-14'!$C:$C,$C51)</f>
        <v>4</v>
      </c>
      <c r="J51" s="57" t="n">
        <f aca="false">COUNTIF('Tech Leaders 15-17'!$C:$C,$C51)</f>
        <v>5</v>
      </c>
      <c r="K51" s="58" t="n">
        <f aca="false">MAX(_xlfn.MAXIFS('Little Explorers 5-7'!$D:$D,'Little Explorers 5-7'!$C:$C,$C51,'Little Explorers 5-7'!$E:$E,"Per group"),_xlfn.MAXIFS('Junior Makers 8-11'!$D:$D,'Junior Makers 8-11'!$C:$C,$C51,'Junior Makers 8-11'!$E:$E,"Per group"),_xlfn.MAXIFS('Young Innovators 12-14'!$D:$D,'Young Innovators 12-14'!$C:$C,$C51,'Young Innovators 12-14'!$E:$E,"Per group"),_xlfn.MAXIFS('Tech Leaders 15-17'!$D:$D,'Tech Leaders 15-17'!$C:$C,$C51,'Tech Leaders 15-17'!$E:$E,"Per group"))</f>
        <v>3</v>
      </c>
      <c r="L51" s="59" t="n">
        <f aca="false">MAX(_xlfn.MAXIFS('Little Explorers 5-7'!$D:$D,'Little Explorers 5-7'!$C:$C,$C51,'Little Explorers 5-7'!$E:$E,"Per class"),_xlfn.MAXIFS('Junior Makers 8-11'!$D:$D,'Junior Makers 8-11'!$C:$C,$C51,'Junior Makers 8-11'!$E:$E,"Per class"),_xlfn.MAXIFS('Young Innovators 12-14'!$D:$D,'Young Innovators 12-14'!$C:$C,$C51,'Young Innovators 12-14'!$E:$E,"Per class"),_xlfn.MAXIFS('Tech Leaders 15-17'!$D:$D,'Tech Leaders 15-17'!$C:$C,$C51,'Tech Leaders 15-17'!$E:$E,"Per class"))</f>
        <v>0</v>
      </c>
      <c r="M51" s="14" t="s">
        <v>751</v>
      </c>
      <c r="N51" s="14"/>
    </row>
    <row r="52" customFormat="false" ht="15" hidden="false" customHeight="false" outlineLevel="0" collapsed="false">
      <c r="A52" s="14" t="n">
        <v>40</v>
      </c>
      <c r="B52" s="14" t="s">
        <v>398</v>
      </c>
      <c r="C52" s="17" t="s">
        <v>545</v>
      </c>
      <c r="D52" s="14" t="s">
        <v>752</v>
      </c>
      <c r="E52" s="60" t="s">
        <v>380</v>
      </c>
      <c r="F52" s="56" t="n">
        <f aca="false">COUNTIF('Little Explorers 5-7'!$C:$C,$C52)+COUNTIF('Junior Makers 8-11'!$C:$C,$C52)+COUNTIF('Young Innovators 12-14'!$C:$C,$C52)+COUNTIF('Tech Leaders 15-17'!$C:$C,$C52)</f>
        <v>1</v>
      </c>
      <c r="G52" s="57" t="n">
        <f aca="false">COUNTIF('Little Explorers 5-7'!$C:$C,$C52)</f>
        <v>0</v>
      </c>
      <c r="H52" s="57" t="n">
        <f aca="false">COUNTIF('Junior Makers 8-11'!$C:$C,$C52)</f>
        <v>0</v>
      </c>
      <c r="I52" s="57" t="n">
        <f aca="false">COUNTIF('Young Innovators 12-14'!$C:$C,$C52)</f>
        <v>1</v>
      </c>
      <c r="J52" s="57" t="n">
        <f aca="false">COUNTIF('Tech Leaders 15-17'!$C:$C,$C52)</f>
        <v>0</v>
      </c>
      <c r="K52" s="58" t="n">
        <f aca="false">MAX(_xlfn.MAXIFS('Little Explorers 5-7'!$D:$D,'Little Explorers 5-7'!$C:$C,$C52,'Little Explorers 5-7'!$E:$E,"Per group"),_xlfn.MAXIFS('Junior Makers 8-11'!$D:$D,'Junior Makers 8-11'!$C:$C,$C52,'Junior Makers 8-11'!$E:$E,"Per group"),_xlfn.MAXIFS('Young Innovators 12-14'!$D:$D,'Young Innovators 12-14'!$C:$C,$C52,'Young Innovators 12-14'!$E:$E,"Per group"),_xlfn.MAXIFS('Tech Leaders 15-17'!$D:$D,'Tech Leaders 15-17'!$C:$C,$C52,'Tech Leaders 15-17'!$E:$E,"Per group"))</f>
        <v>1</v>
      </c>
      <c r="L52" s="59" t="n">
        <f aca="false">MAX(_xlfn.MAXIFS('Little Explorers 5-7'!$D:$D,'Little Explorers 5-7'!$C:$C,$C52,'Little Explorers 5-7'!$E:$E,"Per class"),_xlfn.MAXIFS('Junior Makers 8-11'!$D:$D,'Junior Makers 8-11'!$C:$C,$C52,'Junior Makers 8-11'!$E:$E,"Per class"),_xlfn.MAXIFS('Young Innovators 12-14'!$D:$D,'Young Innovators 12-14'!$C:$C,$C52,'Young Innovators 12-14'!$E:$E,"Per class"),_xlfn.MAXIFS('Tech Leaders 15-17'!$D:$D,'Tech Leaders 15-17'!$C:$C,$C52,'Tech Leaders 15-17'!$E:$E,"Per class"))</f>
        <v>0</v>
      </c>
      <c r="M52" s="14" t="s">
        <v>228</v>
      </c>
      <c r="N52" s="14"/>
    </row>
    <row r="53" customFormat="false" ht="15" hidden="false" customHeight="false" outlineLevel="0" collapsed="false">
      <c r="A53" s="14" t="n">
        <v>41</v>
      </c>
      <c r="B53" s="14" t="s">
        <v>398</v>
      </c>
      <c r="C53" s="17" t="s">
        <v>544</v>
      </c>
      <c r="D53" s="14" t="s">
        <v>753</v>
      </c>
      <c r="E53" s="60" t="s">
        <v>380</v>
      </c>
      <c r="F53" s="56" t="n">
        <f aca="false">COUNTIF('Little Explorers 5-7'!$C:$C,$C53)+COUNTIF('Junior Makers 8-11'!$C:$C,$C53)+COUNTIF('Young Innovators 12-14'!$C:$C,$C53)+COUNTIF('Tech Leaders 15-17'!$C:$C,$C53)</f>
        <v>2</v>
      </c>
      <c r="G53" s="57" t="n">
        <f aca="false">COUNTIF('Little Explorers 5-7'!$C:$C,$C53)</f>
        <v>0</v>
      </c>
      <c r="H53" s="57" t="n">
        <f aca="false">COUNTIF('Junior Makers 8-11'!$C:$C,$C53)</f>
        <v>0</v>
      </c>
      <c r="I53" s="57" t="n">
        <f aca="false">COUNTIF('Young Innovators 12-14'!$C:$C,$C53)</f>
        <v>2</v>
      </c>
      <c r="J53" s="57" t="n">
        <f aca="false">COUNTIF('Tech Leaders 15-17'!$C:$C,$C53)</f>
        <v>0</v>
      </c>
      <c r="K53" s="58" t="n">
        <f aca="false">MAX(_xlfn.MAXIFS('Little Explorers 5-7'!$D:$D,'Little Explorers 5-7'!$C:$C,$C53,'Little Explorers 5-7'!$E:$E,"Per group"),_xlfn.MAXIFS('Junior Makers 8-11'!$D:$D,'Junior Makers 8-11'!$C:$C,$C53,'Junior Makers 8-11'!$E:$E,"Per group"),_xlfn.MAXIFS('Young Innovators 12-14'!$D:$D,'Young Innovators 12-14'!$C:$C,$C53,'Young Innovators 12-14'!$E:$E,"Per group"),_xlfn.MAXIFS('Tech Leaders 15-17'!$D:$D,'Tech Leaders 15-17'!$C:$C,$C53,'Tech Leaders 15-17'!$E:$E,"Per group"))</f>
        <v>2</v>
      </c>
      <c r="L53" s="59" t="n">
        <f aca="false">MAX(_xlfn.MAXIFS('Little Explorers 5-7'!$D:$D,'Little Explorers 5-7'!$C:$C,$C53,'Little Explorers 5-7'!$E:$E,"Per class"),_xlfn.MAXIFS('Junior Makers 8-11'!$D:$D,'Junior Makers 8-11'!$C:$C,$C53,'Junior Makers 8-11'!$E:$E,"Per class"),_xlfn.MAXIFS('Young Innovators 12-14'!$D:$D,'Young Innovators 12-14'!$C:$C,$C53,'Young Innovators 12-14'!$E:$E,"Per class"),_xlfn.MAXIFS('Tech Leaders 15-17'!$D:$D,'Tech Leaders 15-17'!$C:$C,$C53,'Tech Leaders 15-17'!$E:$E,"Per class"))</f>
        <v>0</v>
      </c>
      <c r="M53" s="14" t="s">
        <v>754</v>
      </c>
      <c r="N53" s="14"/>
    </row>
    <row r="54" customFormat="false" ht="15" hidden="false" customHeight="false" outlineLevel="0" collapsed="false">
      <c r="A54" s="14" t="n">
        <v>42</v>
      </c>
      <c r="B54" s="14" t="s">
        <v>398</v>
      </c>
      <c r="C54" s="17" t="s">
        <v>546</v>
      </c>
      <c r="D54" s="14" t="s">
        <v>755</v>
      </c>
      <c r="E54" s="60" t="s">
        <v>380</v>
      </c>
      <c r="F54" s="56" t="n">
        <f aca="false">COUNTIF('Little Explorers 5-7'!$C:$C,$C54)+COUNTIF('Junior Makers 8-11'!$C:$C,$C54)+COUNTIF('Young Innovators 12-14'!$C:$C,$C54)+COUNTIF('Tech Leaders 15-17'!$C:$C,$C54)</f>
        <v>1</v>
      </c>
      <c r="G54" s="57" t="n">
        <f aca="false">COUNTIF('Little Explorers 5-7'!$C:$C,$C54)</f>
        <v>0</v>
      </c>
      <c r="H54" s="57" t="n">
        <f aca="false">COUNTIF('Junior Makers 8-11'!$C:$C,$C54)</f>
        <v>0</v>
      </c>
      <c r="I54" s="57" t="n">
        <f aca="false">COUNTIF('Young Innovators 12-14'!$C:$C,$C54)</f>
        <v>1</v>
      </c>
      <c r="J54" s="57" t="n">
        <f aca="false">COUNTIF('Tech Leaders 15-17'!$C:$C,$C54)</f>
        <v>0</v>
      </c>
      <c r="K54" s="58" t="n">
        <f aca="false">MAX(_xlfn.MAXIFS('Little Explorers 5-7'!$D:$D,'Little Explorers 5-7'!$C:$C,$C54,'Little Explorers 5-7'!$E:$E,"Per group"),_xlfn.MAXIFS('Junior Makers 8-11'!$D:$D,'Junior Makers 8-11'!$C:$C,$C54,'Junior Makers 8-11'!$E:$E,"Per group"),_xlfn.MAXIFS('Young Innovators 12-14'!$D:$D,'Young Innovators 12-14'!$C:$C,$C54,'Young Innovators 12-14'!$E:$E,"Per group"),_xlfn.MAXIFS('Tech Leaders 15-17'!$D:$D,'Tech Leaders 15-17'!$C:$C,$C54,'Tech Leaders 15-17'!$E:$E,"Per group"))</f>
        <v>1</v>
      </c>
      <c r="L54" s="59" t="n">
        <f aca="false">MAX(_xlfn.MAXIFS('Little Explorers 5-7'!$D:$D,'Little Explorers 5-7'!$C:$C,$C54,'Little Explorers 5-7'!$E:$E,"Per class"),_xlfn.MAXIFS('Junior Makers 8-11'!$D:$D,'Junior Makers 8-11'!$C:$C,$C54,'Junior Makers 8-11'!$E:$E,"Per class"),_xlfn.MAXIFS('Young Innovators 12-14'!$D:$D,'Young Innovators 12-14'!$C:$C,$C54,'Young Innovators 12-14'!$E:$E,"Per class"),_xlfn.MAXIFS('Tech Leaders 15-17'!$D:$D,'Tech Leaders 15-17'!$C:$C,$C54,'Tech Leaders 15-17'!$E:$E,"Per class"))</f>
        <v>0</v>
      </c>
      <c r="M54" s="14" t="s">
        <v>228</v>
      </c>
      <c r="N54" s="14"/>
    </row>
    <row r="55" customFormat="false" ht="15" hidden="false" customHeight="false" outlineLevel="0" collapsed="false">
      <c r="A55" s="14" t="n">
        <v>43</v>
      </c>
      <c r="B55" s="14" t="s">
        <v>398</v>
      </c>
      <c r="C55" s="17" t="s">
        <v>543</v>
      </c>
      <c r="D55" s="14" t="s">
        <v>756</v>
      </c>
      <c r="E55" s="60" t="s">
        <v>380</v>
      </c>
      <c r="F55" s="56" t="n">
        <f aca="false">COUNTIF('Little Explorers 5-7'!$C:$C,$C55)+COUNTIF('Junior Makers 8-11'!$C:$C,$C55)+COUNTIF('Young Innovators 12-14'!$C:$C,$C55)+COUNTIF('Tech Leaders 15-17'!$C:$C,$C55)</f>
        <v>1</v>
      </c>
      <c r="G55" s="57" t="n">
        <f aca="false">COUNTIF('Little Explorers 5-7'!$C:$C,$C55)</f>
        <v>0</v>
      </c>
      <c r="H55" s="57" t="n">
        <f aca="false">COUNTIF('Junior Makers 8-11'!$C:$C,$C55)</f>
        <v>0</v>
      </c>
      <c r="I55" s="57" t="n">
        <f aca="false">COUNTIF('Young Innovators 12-14'!$C:$C,$C55)</f>
        <v>1</v>
      </c>
      <c r="J55" s="57" t="n">
        <f aca="false">COUNTIF('Tech Leaders 15-17'!$C:$C,$C55)</f>
        <v>0</v>
      </c>
      <c r="K55" s="58" t="n">
        <f aca="false">MAX(_xlfn.MAXIFS('Little Explorers 5-7'!$D:$D,'Little Explorers 5-7'!$C:$C,$C55,'Little Explorers 5-7'!$E:$E,"Per group"),_xlfn.MAXIFS('Junior Makers 8-11'!$D:$D,'Junior Makers 8-11'!$C:$C,$C55,'Junior Makers 8-11'!$E:$E,"Per group"),_xlfn.MAXIFS('Young Innovators 12-14'!$D:$D,'Young Innovators 12-14'!$C:$C,$C55,'Young Innovators 12-14'!$E:$E,"Per group"),_xlfn.MAXIFS('Tech Leaders 15-17'!$D:$D,'Tech Leaders 15-17'!$C:$C,$C55,'Tech Leaders 15-17'!$E:$E,"Per group"))</f>
        <v>1</v>
      </c>
      <c r="L55" s="59" t="n">
        <f aca="false">MAX(_xlfn.MAXIFS('Little Explorers 5-7'!$D:$D,'Little Explorers 5-7'!$C:$C,$C55,'Little Explorers 5-7'!$E:$E,"Per class"),_xlfn.MAXIFS('Junior Makers 8-11'!$D:$D,'Junior Makers 8-11'!$C:$C,$C55,'Junior Makers 8-11'!$E:$E,"Per class"),_xlfn.MAXIFS('Young Innovators 12-14'!$D:$D,'Young Innovators 12-14'!$C:$C,$C55,'Young Innovators 12-14'!$E:$E,"Per class"),_xlfn.MAXIFS('Tech Leaders 15-17'!$D:$D,'Tech Leaders 15-17'!$C:$C,$C55,'Tech Leaders 15-17'!$E:$E,"Per class"))</f>
        <v>0</v>
      </c>
      <c r="M55" s="14" t="s">
        <v>228</v>
      </c>
      <c r="N55" s="14"/>
    </row>
    <row r="56" customFormat="false" ht="15" hidden="false" customHeight="false" outlineLevel="0" collapsed="false">
      <c r="A56" s="14" t="n">
        <v>44</v>
      </c>
      <c r="B56" s="14" t="s">
        <v>398</v>
      </c>
      <c r="C56" s="17" t="s">
        <v>501</v>
      </c>
      <c r="D56" s="14" t="s">
        <v>757</v>
      </c>
      <c r="E56" s="15" t="s">
        <v>394</v>
      </c>
      <c r="F56" s="56" t="n">
        <f aca="false">COUNTIF('Little Explorers 5-7'!$C:$C,$C56)+COUNTIF('Junior Makers 8-11'!$C:$C,$C56)+COUNTIF('Young Innovators 12-14'!$C:$C,$C56)+COUNTIF('Tech Leaders 15-17'!$C:$C,$C56)</f>
        <v>4</v>
      </c>
      <c r="G56" s="57" t="n">
        <f aca="false">COUNTIF('Little Explorers 5-7'!$C:$C,$C56)</f>
        <v>0</v>
      </c>
      <c r="H56" s="57" t="n">
        <f aca="false">COUNTIF('Junior Makers 8-11'!$C:$C,$C56)</f>
        <v>2</v>
      </c>
      <c r="I56" s="57" t="n">
        <f aca="false">COUNTIF('Young Innovators 12-14'!$C:$C,$C56)</f>
        <v>1</v>
      </c>
      <c r="J56" s="57" t="n">
        <f aca="false">COUNTIF('Tech Leaders 15-17'!$C:$C,$C56)</f>
        <v>1</v>
      </c>
      <c r="K56" s="58" t="n">
        <f aca="false">MAX(_xlfn.MAXIFS('Little Explorers 5-7'!$D:$D,'Little Explorers 5-7'!$C:$C,$C56,'Little Explorers 5-7'!$E:$E,"Per group"),_xlfn.MAXIFS('Junior Makers 8-11'!$D:$D,'Junior Makers 8-11'!$C:$C,$C56,'Junior Makers 8-11'!$E:$E,"Per group"),_xlfn.MAXIFS('Young Innovators 12-14'!$D:$D,'Young Innovators 12-14'!$C:$C,$C56,'Young Innovators 12-14'!$E:$E,"Per group"),_xlfn.MAXIFS('Tech Leaders 15-17'!$D:$D,'Tech Leaders 15-17'!$C:$C,$C56,'Tech Leaders 15-17'!$E:$E,"Per group"))</f>
        <v>4</v>
      </c>
      <c r="L56" s="59" t="n">
        <f aca="false">MAX(_xlfn.MAXIFS('Little Explorers 5-7'!$D:$D,'Little Explorers 5-7'!$C:$C,$C56,'Little Explorers 5-7'!$E:$E,"Per class"),_xlfn.MAXIFS('Junior Makers 8-11'!$D:$D,'Junior Makers 8-11'!$C:$C,$C56,'Junior Makers 8-11'!$E:$E,"Per class"),_xlfn.MAXIFS('Young Innovators 12-14'!$D:$D,'Young Innovators 12-14'!$C:$C,$C56,'Young Innovators 12-14'!$E:$E,"Per class"),_xlfn.MAXIFS('Tech Leaders 15-17'!$D:$D,'Tech Leaders 15-17'!$C:$C,$C56,'Tech Leaders 15-17'!$E:$E,"Per class"))</f>
        <v>0</v>
      </c>
      <c r="M56" s="14" t="s">
        <v>758</v>
      </c>
      <c r="N56" s="14"/>
    </row>
    <row r="57" customFormat="false" ht="23.85" hidden="false" customHeight="false" outlineLevel="0" collapsed="false">
      <c r="A57" s="14" t="n">
        <v>45</v>
      </c>
      <c r="B57" s="14" t="s">
        <v>398</v>
      </c>
      <c r="C57" s="17" t="s">
        <v>399</v>
      </c>
      <c r="D57" s="14" t="s">
        <v>759</v>
      </c>
      <c r="E57" s="15" t="s">
        <v>394</v>
      </c>
      <c r="F57" s="56" t="n">
        <f aca="false">COUNTIF('Little Explorers 5-7'!$C:$C,$C57)+COUNTIF('Junior Makers 8-11'!$C:$C,$C57)+COUNTIF('Young Innovators 12-14'!$C:$C,$C57)+COUNTIF('Tech Leaders 15-17'!$C:$C,$C57)</f>
        <v>12</v>
      </c>
      <c r="G57" s="57" t="n">
        <f aca="false">COUNTIF('Little Explorers 5-7'!$C:$C,$C57)</f>
        <v>3</v>
      </c>
      <c r="H57" s="57" t="n">
        <f aca="false">COUNTIF('Junior Makers 8-11'!$C:$C,$C57)</f>
        <v>4</v>
      </c>
      <c r="I57" s="57" t="n">
        <f aca="false">COUNTIF('Young Innovators 12-14'!$C:$C,$C57)</f>
        <v>2</v>
      </c>
      <c r="J57" s="57" t="n">
        <f aca="false">COUNTIF('Tech Leaders 15-17'!$C:$C,$C57)</f>
        <v>3</v>
      </c>
      <c r="K57" s="58" t="n">
        <f aca="false">MAX(_xlfn.MAXIFS('Little Explorers 5-7'!$D:$D,'Little Explorers 5-7'!$C:$C,$C57,'Little Explorers 5-7'!$E:$E,"Per group"),_xlfn.MAXIFS('Junior Makers 8-11'!$D:$D,'Junior Makers 8-11'!$C:$C,$C57,'Junior Makers 8-11'!$E:$E,"Per group"),_xlfn.MAXIFS('Young Innovators 12-14'!$D:$D,'Young Innovators 12-14'!$C:$C,$C57,'Young Innovators 12-14'!$E:$E,"Per group"),_xlfn.MAXIFS('Tech Leaders 15-17'!$D:$D,'Tech Leaders 15-17'!$C:$C,$C57,'Tech Leaders 15-17'!$E:$E,"Per group"))</f>
        <v>3</v>
      </c>
      <c r="L57" s="59" t="n">
        <f aca="false">MAX(_xlfn.MAXIFS('Little Explorers 5-7'!$D:$D,'Little Explorers 5-7'!$C:$C,$C57,'Little Explorers 5-7'!$E:$E,"Per class"),_xlfn.MAXIFS('Junior Makers 8-11'!$D:$D,'Junior Makers 8-11'!$C:$C,$C57,'Junior Makers 8-11'!$E:$E,"Per class"),_xlfn.MAXIFS('Young Innovators 12-14'!$D:$D,'Young Innovators 12-14'!$C:$C,$C57,'Young Innovators 12-14'!$E:$E,"Per class"),_xlfn.MAXIFS('Tech Leaders 15-17'!$D:$D,'Tech Leaders 15-17'!$C:$C,$C57,'Tech Leaders 15-17'!$E:$E,"Per class"))</f>
        <v>0</v>
      </c>
      <c r="M57" s="14" t="s">
        <v>760</v>
      </c>
      <c r="N57" s="14"/>
    </row>
    <row r="58" customFormat="false" ht="15" hidden="false" customHeight="false" outlineLevel="0" collapsed="false">
      <c r="A58" s="14" t="n">
        <v>46</v>
      </c>
      <c r="B58" s="14" t="s">
        <v>398</v>
      </c>
      <c r="C58" s="17" t="s">
        <v>473</v>
      </c>
      <c r="D58" s="14" t="s">
        <v>761</v>
      </c>
      <c r="E58" s="15" t="s">
        <v>394</v>
      </c>
      <c r="F58" s="56" t="n">
        <f aca="false">COUNTIF('Little Explorers 5-7'!$C:$C,$C58)+COUNTIF('Junior Makers 8-11'!$C:$C,$C58)+COUNTIF('Young Innovators 12-14'!$C:$C,$C58)+COUNTIF('Tech Leaders 15-17'!$C:$C,$C58)</f>
        <v>1</v>
      </c>
      <c r="G58" s="57" t="n">
        <f aca="false">COUNTIF('Little Explorers 5-7'!$C:$C,$C58)</f>
        <v>0</v>
      </c>
      <c r="H58" s="57" t="n">
        <f aca="false">COUNTIF('Junior Makers 8-11'!$C:$C,$C58)</f>
        <v>1</v>
      </c>
      <c r="I58" s="57" t="n">
        <f aca="false">COUNTIF('Young Innovators 12-14'!$C:$C,$C58)</f>
        <v>0</v>
      </c>
      <c r="J58" s="57" t="n">
        <f aca="false">COUNTIF('Tech Leaders 15-17'!$C:$C,$C58)</f>
        <v>0</v>
      </c>
      <c r="K58" s="58" t="n">
        <f aca="false">MAX(_xlfn.MAXIFS('Little Explorers 5-7'!$D:$D,'Little Explorers 5-7'!$C:$C,$C58,'Little Explorers 5-7'!$E:$E,"Per group"),_xlfn.MAXIFS('Junior Makers 8-11'!$D:$D,'Junior Makers 8-11'!$C:$C,$C58,'Junior Makers 8-11'!$E:$E,"Per group"),_xlfn.MAXIFS('Young Innovators 12-14'!$D:$D,'Young Innovators 12-14'!$C:$C,$C58,'Young Innovators 12-14'!$E:$E,"Per group"),_xlfn.MAXIFS('Tech Leaders 15-17'!$D:$D,'Tech Leaders 15-17'!$C:$C,$C58,'Tech Leaders 15-17'!$E:$E,"Per group"))</f>
        <v>2</v>
      </c>
      <c r="L58" s="59" t="n">
        <f aca="false">MAX(_xlfn.MAXIFS('Little Explorers 5-7'!$D:$D,'Little Explorers 5-7'!$C:$C,$C58,'Little Explorers 5-7'!$E:$E,"Per class"),_xlfn.MAXIFS('Junior Makers 8-11'!$D:$D,'Junior Makers 8-11'!$C:$C,$C58,'Junior Makers 8-11'!$E:$E,"Per class"),_xlfn.MAXIFS('Young Innovators 12-14'!$D:$D,'Young Innovators 12-14'!$C:$C,$C58,'Young Innovators 12-14'!$E:$E,"Per class"),_xlfn.MAXIFS('Tech Leaders 15-17'!$D:$D,'Tech Leaders 15-17'!$C:$C,$C58,'Tech Leaders 15-17'!$E:$E,"Per class"))</f>
        <v>0</v>
      </c>
      <c r="M58" s="14" t="s">
        <v>155</v>
      </c>
      <c r="N58" s="14"/>
    </row>
    <row r="59" customFormat="false" ht="15" hidden="false" customHeight="false" outlineLevel="0" collapsed="false">
      <c r="A59" s="4"/>
      <c r="B59" s="55" t="s">
        <v>762</v>
      </c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</row>
    <row r="60" customFormat="false" ht="15" hidden="false" customHeight="false" outlineLevel="0" collapsed="false">
      <c r="A60" s="14" t="n">
        <v>47</v>
      </c>
      <c r="B60" s="14" t="s">
        <v>381</v>
      </c>
      <c r="C60" s="17" t="s">
        <v>382</v>
      </c>
      <c r="D60" s="14" t="s">
        <v>763</v>
      </c>
      <c r="E60" s="60" t="s">
        <v>380</v>
      </c>
      <c r="F60" s="56" t="n">
        <f aca="false">COUNTIF('Little Explorers 5-7'!$C:$C,$C60)+COUNTIF('Junior Makers 8-11'!$C:$C,$C60)+COUNTIF('Young Innovators 12-14'!$C:$C,$C60)+COUNTIF('Tech Leaders 15-17'!$C:$C,$C60)</f>
        <v>2</v>
      </c>
      <c r="G60" s="57" t="n">
        <f aca="false">COUNTIF('Little Explorers 5-7'!$C:$C,$C60)</f>
        <v>2</v>
      </c>
      <c r="H60" s="57" t="n">
        <f aca="false">COUNTIF('Junior Makers 8-11'!$C:$C,$C60)</f>
        <v>0</v>
      </c>
      <c r="I60" s="57" t="n">
        <f aca="false">COUNTIF('Young Innovators 12-14'!$C:$C,$C60)</f>
        <v>0</v>
      </c>
      <c r="J60" s="57" t="n">
        <f aca="false">COUNTIF('Tech Leaders 15-17'!$C:$C,$C60)</f>
        <v>0</v>
      </c>
      <c r="K60" s="58" t="n">
        <f aca="false">MAX(_xlfn.MAXIFS('Little Explorers 5-7'!$D:$D,'Little Explorers 5-7'!$C:$C,$C60,'Little Explorers 5-7'!$E:$E,"Per group"),_xlfn.MAXIFS('Junior Makers 8-11'!$D:$D,'Junior Makers 8-11'!$C:$C,$C60,'Junior Makers 8-11'!$E:$E,"Per group"),_xlfn.MAXIFS('Young Innovators 12-14'!$D:$D,'Young Innovators 12-14'!$C:$C,$C60,'Young Innovators 12-14'!$E:$E,"Per group"),_xlfn.MAXIFS('Tech Leaders 15-17'!$D:$D,'Tech Leaders 15-17'!$C:$C,$C60,'Tech Leaders 15-17'!$E:$E,"Per group"))</f>
        <v>1</v>
      </c>
      <c r="L60" s="59" t="n">
        <f aca="false">MAX(_xlfn.MAXIFS('Little Explorers 5-7'!$D:$D,'Little Explorers 5-7'!$C:$C,$C60,'Little Explorers 5-7'!$E:$E,"Per class"),_xlfn.MAXIFS('Junior Makers 8-11'!$D:$D,'Junior Makers 8-11'!$C:$C,$C60,'Junior Makers 8-11'!$E:$E,"Per class"),_xlfn.MAXIFS('Young Innovators 12-14'!$D:$D,'Young Innovators 12-14'!$C:$C,$C60,'Young Innovators 12-14'!$E:$E,"Per class"),_xlfn.MAXIFS('Tech Leaders 15-17'!$D:$D,'Tech Leaders 15-17'!$C:$C,$C60,'Tech Leaders 15-17'!$E:$E,"Per class"))</f>
        <v>0</v>
      </c>
      <c r="M60" s="14" t="s">
        <v>764</v>
      </c>
      <c r="N60" s="14"/>
    </row>
    <row r="61" customFormat="false" ht="15" hidden="false" customHeight="false" outlineLevel="0" collapsed="false">
      <c r="A61" s="14" t="n">
        <v>48</v>
      </c>
      <c r="B61" s="14" t="s">
        <v>381</v>
      </c>
      <c r="C61" s="17" t="s">
        <v>474</v>
      </c>
      <c r="D61" s="14" t="s">
        <v>765</v>
      </c>
      <c r="E61" s="60" t="s">
        <v>380</v>
      </c>
      <c r="F61" s="56" t="n">
        <f aca="false">COUNTIF('Little Explorers 5-7'!$C:$C,$C61)+COUNTIF('Junior Makers 8-11'!$C:$C,$C61)+COUNTIF('Young Innovators 12-14'!$C:$C,$C61)+COUNTIF('Tech Leaders 15-17'!$C:$C,$C61)</f>
        <v>2</v>
      </c>
      <c r="G61" s="57" t="n">
        <f aca="false">COUNTIF('Little Explorers 5-7'!$C:$C,$C61)</f>
        <v>0</v>
      </c>
      <c r="H61" s="57" t="n">
        <f aca="false">COUNTIF('Junior Makers 8-11'!$C:$C,$C61)</f>
        <v>1</v>
      </c>
      <c r="I61" s="57" t="n">
        <f aca="false">COUNTIF('Young Innovators 12-14'!$C:$C,$C61)</f>
        <v>1</v>
      </c>
      <c r="J61" s="57" t="n">
        <f aca="false">COUNTIF('Tech Leaders 15-17'!$C:$C,$C61)</f>
        <v>0</v>
      </c>
      <c r="K61" s="58" t="n">
        <f aca="false">MAX(_xlfn.MAXIFS('Little Explorers 5-7'!$D:$D,'Little Explorers 5-7'!$C:$C,$C61,'Little Explorers 5-7'!$E:$E,"Per group"),_xlfn.MAXIFS('Junior Makers 8-11'!$D:$D,'Junior Makers 8-11'!$C:$C,$C61,'Junior Makers 8-11'!$E:$E,"Per group"),_xlfn.MAXIFS('Young Innovators 12-14'!$D:$D,'Young Innovators 12-14'!$C:$C,$C61,'Young Innovators 12-14'!$E:$E,"Per group"),_xlfn.MAXIFS('Tech Leaders 15-17'!$D:$D,'Tech Leaders 15-17'!$C:$C,$C61,'Tech Leaders 15-17'!$E:$E,"Per group"))</f>
        <v>1</v>
      </c>
      <c r="L61" s="59" t="n">
        <f aca="false">MAX(_xlfn.MAXIFS('Little Explorers 5-7'!$D:$D,'Little Explorers 5-7'!$C:$C,$C61,'Little Explorers 5-7'!$E:$E,"Per class"),_xlfn.MAXIFS('Junior Makers 8-11'!$D:$D,'Junior Makers 8-11'!$C:$C,$C61,'Junior Makers 8-11'!$E:$E,"Per class"),_xlfn.MAXIFS('Young Innovators 12-14'!$D:$D,'Young Innovators 12-14'!$C:$C,$C61,'Young Innovators 12-14'!$E:$E,"Per class"),_xlfn.MAXIFS('Tech Leaders 15-17'!$D:$D,'Tech Leaders 15-17'!$C:$C,$C61,'Tech Leaders 15-17'!$E:$E,"Per class"))</f>
        <v>0</v>
      </c>
      <c r="M61" s="14" t="s">
        <v>766</v>
      </c>
      <c r="N61" s="14"/>
    </row>
    <row r="62" customFormat="false" ht="23.85" hidden="false" customHeight="false" outlineLevel="0" collapsed="false">
      <c r="A62" s="14" t="n">
        <v>49</v>
      </c>
      <c r="B62" s="14" t="s">
        <v>381</v>
      </c>
      <c r="C62" s="17" t="s">
        <v>502</v>
      </c>
      <c r="D62" s="14" t="s">
        <v>767</v>
      </c>
      <c r="E62" s="60" t="s">
        <v>380</v>
      </c>
      <c r="F62" s="56" t="n">
        <f aca="false">COUNTIF('Little Explorers 5-7'!$C:$C,$C62)+COUNTIF('Junior Makers 8-11'!$C:$C,$C62)+COUNTIF('Young Innovators 12-14'!$C:$C,$C62)+COUNTIF('Tech Leaders 15-17'!$C:$C,$C62)</f>
        <v>10</v>
      </c>
      <c r="G62" s="57" t="n">
        <f aca="false">COUNTIF('Little Explorers 5-7'!$C:$C,$C62)</f>
        <v>0</v>
      </c>
      <c r="H62" s="57" t="n">
        <f aca="false">COUNTIF('Junior Makers 8-11'!$C:$C,$C62)</f>
        <v>2</v>
      </c>
      <c r="I62" s="57" t="n">
        <f aca="false">COUNTIF('Young Innovators 12-14'!$C:$C,$C62)</f>
        <v>5</v>
      </c>
      <c r="J62" s="57" t="n">
        <f aca="false">COUNTIF('Tech Leaders 15-17'!$C:$C,$C62)</f>
        <v>3</v>
      </c>
      <c r="K62" s="58" t="n">
        <f aca="false">MAX(_xlfn.MAXIFS('Little Explorers 5-7'!$D:$D,'Little Explorers 5-7'!$C:$C,$C62,'Little Explorers 5-7'!$E:$E,"Per group"),_xlfn.MAXIFS('Junior Makers 8-11'!$D:$D,'Junior Makers 8-11'!$C:$C,$C62,'Junior Makers 8-11'!$E:$E,"Per group"),_xlfn.MAXIFS('Young Innovators 12-14'!$D:$D,'Young Innovators 12-14'!$C:$C,$C62,'Young Innovators 12-14'!$E:$E,"Per group"),_xlfn.MAXIFS('Tech Leaders 15-17'!$D:$D,'Tech Leaders 15-17'!$C:$C,$C62,'Tech Leaders 15-17'!$E:$E,"Per group"))</f>
        <v>1</v>
      </c>
      <c r="L62" s="59" t="n">
        <f aca="false">MAX(_xlfn.MAXIFS('Little Explorers 5-7'!$D:$D,'Little Explorers 5-7'!$C:$C,$C62,'Little Explorers 5-7'!$E:$E,"Per class"),_xlfn.MAXIFS('Junior Makers 8-11'!$D:$D,'Junior Makers 8-11'!$C:$C,$C62,'Junior Makers 8-11'!$E:$E,"Per class"),_xlfn.MAXIFS('Young Innovators 12-14'!$D:$D,'Young Innovators 12-14'!$C:$C,$C62,'Young Innovators 12-14'!$E:$E,"Per class"),_xlfn.MAXIFS('Tech Leaders 15-17'!$D:$D,'Tech Leaders 15-17'!$C:$C,$C62,'Tech Leaders 15-17'!$E:$E,"Per class"))</f>
        <v>0</v>
      </c>
      <c r="M62" s="14" t="s">
        <v>768</v>
      </c>
      <c r="N62" s="14" t="s">
        <v>769</v>
      </c>
    </row>
    <row r="63" customFormat="false" ht="15" hidden="false" customHeight="false" outlineLevel="0" collapsed="false">
      <c r="A63" s="14" t="n">
        <v>50</v>
      </c>
      <c r="B63" s="14" t="s">
        <v>381</v>
      </c>
      <c r="C63" s="17" t="s">
        <v>576</v>
      </c>
      <c r="D63" s="14" t="s">
        <v>770</v>
      </c>
      <c r="E63" s="15" t="s">
        <v>394</v>
      </c>
      <c r="F63" s="56" t="n">
        <f aca="false">COUNTIF('Little Explorers 5-7'!$C:$C,$C63)+COUNTIF('Junior Makers 8-11'!$C:$C,$C63)+COUNTIF('Young Innovators 12-14'!$C:$C,$C63)+COUNTIF('Tech Leaders 15-17'!$C:$C,$C63)</f>
        <v>3</v>
      </c>
      <c r="G63" s="57" t="n">
        <f aca="false">COUNTIF('Little Explorers 5-7'!$C:$C,$C63)</f>
        <v>0</v>
      </c>
      <c r="H63" s="57" t="n">
        <f aca="false">COUNTIF('Junior Makers 8-11'!$C:$C,$C63)</f>
        <v>0</v>
      </c>
      <c r="I63" s="57" t="n">
        <f aca="false">COUNTIF('Young Innovators 12-14'!$C:$C,$C63)</f>
        <v>1</v>
      </c>
      <c r="J63" s="57" t="n">
        <f aca="false">COUNTIF('Tech Leaders 15-17'!$C:$C,$C63)</f>
        <v>2</v>
      </c>
      <c r="K63" s="58" t="n">
        <f aca="false">MAX(_xlfn.MAXIFS('Little Explorers 5-7'!$D:$D,'Little Explorers 5-7'!$C:$C,$C63,'Little Explorers 5-7'!$E:$E,"Per group"),_xlfn.MAXIFS('Junior Makers 8-11'!$D:$D,'Junior Makers 8-11'!$C:$C,$C63,'Junior Makers 8-11'!$E:$E,"Per group"),_xlfn.MAXIFS('Young Innovators 12-14'!$D:$D,'Young Innovators 12-14'!$C:$C,$C63,'Young Innovators 12-14'!$E:$E,"Per group"),_xlfn.MAXIFS('Tech Leaders 15-17'!$D:$D,'Tech Leaders 15-17'!$C:$C,$C63,'Tech Leaders 15-17'!$E:$E,"Per group"))</f>
        <v>1</v>
      </c>
      <c r="L63" s="59" t="n">
        <f aca="false">MAX(_xlfn.MAXIFS('Little Explorers 5-7'!$D:$D,'Little Explorers 5-7'!$C:$C,$C63,'Little Explorers 5-7'!$E:$E,"Per class"),_xlfn.MAXIFS('Junior Makers 8-11'!$D:$D,'Junior Makers 8-11'!$C:$C,$C63,'Junior Makers 8-11'!$E:$E,"Per class"),_xlfn.MAXIFS('Young Innovators 12-14'!$D:$D,'Young Innovators 12-14'!$C:$C,$C63,'Young Innovators 12-14'!$E:$E,"Per class"),_xlfn.MAXIFS('Tech Leaders 15-17'!$D:$D,'Tech Leaders 15-17'!$C:$C,$C63,'Tech Leaders 15-17'!$E:$E,"Per class"))</f>
        <v>0</v>
      </c>
      <c r="M63" s="14" t="s">
        <v>771</v>
      </c>
      <c r="N63" s="14" t="s">
        <v>772</v>
      </c>
    </row>
    <row r="64" customFormat="false" ht="15" hidden="false" customHeight="false" outlineLevel="0" collapsed="false">
      <c r="A64" s="14" t="n">
        <v>51</v>
      </c>
      <c r="B64" s="14" t="s">
        <v>381</v>
      </c>
      <c r="C64" s="17" t="s">
        <v>578</v>
      </c>
      <c r="D64" s="14" t="s">
        <v>773</v>
      </c>
      <c r="E64" s="15" t="s">
        <v>394</v>
      </c>
      <c r="F64" s="56" t="n">
        <f aca="false">COUNTIF('Little Explorers 5-7'!$C:$C,$C64)+COUNTIF('Junior Makers 8-11'!$C:$C,$C64)+COUNTIF('Young Innovators 12-14'!$C:$C,$C64)+COUNTIF('Tech Leaders 15-17'!$C:$C,$C64)</f>
        <v>2</v>
      </c>
      <c r="G64" s="57" t="n">
        <f aca="false">COUNTIF('Little Explorers 5-7'!$C:$C,$C64)</f>
        <v>0</v>
      </c>
      <c r="H64" s="57" t="n">
        <f aca="false">COUNTIF('Junior Makers 8-11'!$C:$C,$C64)</f>
        <v>0</v>
      </c>
      <c r="I64" s="57" t="n">
        <f aca="false">COUNTIF('Young Innovators 12-14'!$C:$C,$C64)</f>
        <v>1</v>
      </c>
      <c r="J64" s="57" t="n">
        <f aca="false">COUNTIF('Tech Leaders 15-17'!$C:$C,$C64)</f>
        <v>1</v>
      </c>
      <c r="K64" s="58" t="n">
        <f aca="false">MAX(_xlfn.MAXIFS('Little Explorers 5-7'!$D:$D,'Little Explorers 5-7'!$C:$C,$C64,'Little Explorers 5-7'!$E:$E,"Per group"),_xlfn.MAXIFS('Junior Makers 8-11'!$D:$D,'Junior Makers 8-11'!$C:$C,$C64,'Junior Makers 8-11'!$E:$E,"Per group"),_xlfn.MAXIFS('Young Innovators 12-14'!$D:$D,'Young Innovators 12-14'!$C:$C,$C64,'Young Innovators 12-14'!$E:$E,"Per group"),_xlfn.MAXIFS('Tech Leaders 15-17'!$D:$D,'Tech Leaders 15-17'!$C:$C,$C64,'Tech Leaders 15-17'!$E:$E,"Per group"))</f>
        <v>1</v>
      </c>
      <c r="L64" s="59" t="n">
        <f aca="false">MAX(_xlfn.MAXIFS('Little Explorers 5-7'!$D:$D,'Little Explorers 5-7'!$C:$C,$C64,'Little Explorers 5-7'!$E:$E,"Per class"),_xlfn.MAXIFS('Junior Makers 8-11'!$D:$D,'Junior Makers 8-11'!$C:$C,$C64,'Junior Makers 8-11'!$E:$E,"Per class"),_xlfn.MAXIFS('Young Innovators 12-14'!$D:$D,'Young Innovators 12-14'!$C:$C,$C64,'Young Innovators 12-14'!$E:$E,"Per class"),_xlfn.MAXIFS('Tech Leaders 15-17'!$D:$D,'Tech Leaders 15-17'!$C:$C,$C64,'Tech Leaders 15-17'!$E:$E,"Per class"))</f>
        <v>0</v>
      </c>
      <c r="M64" s="14" t="s">
        <v>774</v>
      </c>
      <c r="N64" s="14"/>
    </row>
    <row r="65" customFormat="false" ht="15" hidden="false" customHeight="false" outlineLevel="0" collapsed="false">
      <c r="A65" s="14" t="n">
        <v>52</v>
      </c>
      <c r="B65" s="14" t="s">
        <v>381</v>
      </c>
      <c r="C65" s="17" t="s">
        <v>579</v>
      </c>
      <c r="D65" s="14" t="s">
        <v>775</v>
      </c>
      <c r="E65" s="15" t="s">
        <v>394</v>
      </c>
      <c r="F65" s="56" t="n">
        <f aca="false">COUNTIF('Little Explorers 5-7'!$C:$C,$C65)+COUNTIF('Junior Makers 8-11'!$C:$C,$C65)+COUNTIF('Young Innovators 12-14'!$C:$C,$C65)+COUNTIF('Tech Leaders 15-17'!$C:$C,$C65)</f>
        <v>2</v>
      </c>
      <c r="G65" s="57" t="n">
        <f aca="false">COUNTIF('Little Explorers 5-7'!$C:$C,$C65)</f>
        <v>0</v>
      </c>
      <c r="H65" s="57" t="n">
        <f aca="false">COUNTIF('Junior Makers 8-11'!$C:$C,$C65)</f>
        <v>0</v>
      </c>
      <c r="I65" s="57" t="n">
        <f aca="false">COUNTIF('Young Innovators 12-14'!$C:$C,$C65)</f>
        <v>1</v>
      </c>
      <c r="J65" s="57" t="n">
        <f aca="false">COUNTIF('Tech Leaders 15-17'!$C:$C,$C65)</f>
        <v>1</v>
      </c>
      <c r="K65" s="58" t="n">
        <f aca="false">MAX(_xlfn.MAXIFS('Little Explorers 5-7'!$D:$D,'Little Explorers 5-7'!$C:$C,$C65,'Little Explorers 5-7'!$E:$E,"Per group"),_xlfn.MAXIFS('Junior Makers 8-11'!$D:$D,'Junior Makers 8-11'!$C:$C,$C65,'Junior Makers 8-11'!$E:$E,"Per group"),_xlfn.MAXIFS('Young Innovators 12-14'!$D:$D,'Young Innovators 12-14'!$C:$C,$C65,'Young Innovators 12-14'!$E:$E,"Per group"),_xlfn.MAXIFS('Tech Leaders 15-17'!$D:$D,'Tech Leaders 15-17'!$C:$C,$C65,'Tech Leaders 15-17'!$E:$E,"Per group"))</f>
        <v>1</v>
      </c>
      <c r="L65" s="59" t="n">
        <f aca="false">MAX(_xlfn.MAXIFS('Little Explorers 5-7'!$D:$D,'Little Explorers 5-7'!$C:$C,$C65,'Little Explorers 5-7'!$E:$E,"Per class"),_xlfn.MAXIFS('Junior Makers 8-11'!$D:$D,'Junior Makers 8-11'!$C:$C,$C65,'Junior Makers 8-11'!$E:$E,"Per class"),_xlfn.MAXIFS('Young Innovators 12-14'!$D:$D,'Young Innovators 12-14'!$C:$C,$C65,'Young Innovators 12-14'!$E:$E,"Per class"),_xlfn.MAXIFS('Tech Leaders 15-17'!$D:$D,'Tech Leaders 15-17'!$C:$C,$C65,'Tech Leaders 15-17'!$E:$E,"Per class"))</f>
        <v>0</v>
      </c>
      <c r="M65" s="14" t="s">
        <v>776</v>
      </c>
      <c r="N65" s="14"/>
    </row>
    <row r="66" customFormat="false" ht="15" hidden="false" customHeight="false" outlineLevel="0" collapsed="false">
      <c r="A66" s="14" t="n">
        <v>53</v>
      </c>
      <c r="B66" s="14" t="s">
        <v>381</v>
      </c>
      <c r="C66" s="17" t="s">
        <v>506</v>
      </c>
      <c r="D66" s="14" t="s">
        <v>777</v>
      </c>
      <c r="E66" s="15" t="s">
        <v>394</v>
      </c>
      <c r="F66" s="56" t="n">
        <f aca="false">COUNTIF('Little Explorers 5-7'!$C:$C,$C66)+COUNTIF('Junior Makers 8-11'!$C:$C,$C66)+COUNTIF('Young Innovators 12-14'!$C:$C,$C66)+COUNTIF('Tech Leaders 15-17'!$C:$C,$C66)</f>
        <v>2</v>
      </c>
      <c r="G66" s="57" t="n">
        <f aca="false">COUNTIF('Little Explorers 5-7'!$C:$C,$C66)</f>
        <v>0</v>
      </c>
      <c r="H66" s="57" t="n">
        <f aca="false">COUNTIF('Junior Makers 8-11'!$C:$C,$C66)</f>
        <v>1</v>
      </c>
      <c r="I66" s="57" t="n">
        <f aca="false">COUNTIF('Young Innovators 12-14'!$C:$C,$C66)</f>
        <v>0</v>
      </c>
      <c r="J66" s="57" t="n">
        <f aca="false">COUNTIF('Tech Leaders 15-17'!$C:$C,$C66)</f>
        <v>1</v>
      </c>
      <c r="K66" s="58" t="n">
        <f aca="false">MAX(_xlfn.MAXIFS('Little Explorers 5-7'!$D:$D,'Little Explorers 5-7'!$C:$C,$C66,'Little Explorers 5-7'!$E:$E,"Per group"),_xlfn.MAXIFS('Junior Makers 8-11'!$D:$D,'Junior Makers 8-11'!$C:$C,$C66,'Junior Makers 8-11'!$E:$E,"Per group"),_xlfn.MAXIFS('Young Innovators 12-14'!$D:$D,'Young Innovators 12-14'!$C:$C,$C66,'Young Innovators 12-14'!$E:$E,"Per group"),_xlfn.MAXIFS('Tech Leaders 15-17'!$D:$D,'Tech Leaders 15-17'!$C:$C,$C66,'Tech Leaders 15-17'!$E:$E,"Per group"))</f>
        <v>1</v>
      </c>
      <c r="L66" s="59" t="n">
        <f aca="false">MAX(_xlfn.MAXIFS('Little Explorers 5-7'!$D:$D,'Little Explorers 5-7'!$C:$C,$C66,'Little Explorers 5-7'!$E:$E,"Per class"),_xlfn.MAXIFS('Junior Makers 8-11'!$D:$D,'Junior Makers 8-11'!$C:$C,$C66,'Junior Makers 8-11'!$E:$E,"Per class"),_xlfn.MAXIFS('Young Innovators 12-14'!$D:$D,'Young Innovators 12-14'!$C:$C,$C66,'Young Innovators 12-14'!$E:$E,"Per class"),_xlfn.MAXIFS('Tech Leaders 15-17'!$D:$D,'Tech Leaders 15-17'!$C:$C,$C66,'Tech Leaders 15-17'!$E:$E,"Per class"))</f>
        <v>0</v>
      </c>
      <c r="M66" s="14" t="s">
        <v>778</v>
      </c>
      <c r="N66" s="14"/>
    </row>
    <row r="67" customFormat="false" ht="15" hidden="false" customHeight="false" outlineLevel="0" collapsed="false">
      <c r="A67" s="4"/>
      <c r="B67" s="55" t="s">
        <v>779</v>
      </c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</row>
    <row r="68" customFormat="false" ht="68.65" hidden="false" customHeight="false" outlineLevel="0" collapsed="false">
      <c r="A68" s="14" t="n">
        <v>54</v>
      </c>
      <c r="B68" s="14" t="s">
        <v>383</v>
      </c>
      <c r="C68" s="17" t="s">
        <v>402</v>
      </c>
      <c r="D68" s="14" t="s">
        <v>780</v>
      </c>
      <c r="E68" s="15" t="s">
        <v>394</v>
      </c>
      <c r="F68" s="56" t="n">
        <f aca="false">COUNTIF('Little Explorers 5-7'!$C:$C,$C68)+COUNTIF('Junior Makers 8-11'!$C:$C,$C68)+COUNTIF('Young Innovators 12-14'!$C:$C,$C68)+COUNTIF('Tech Leaders 15-17'!$C:$C,$C68)</f>
        <v>40</v>
      </c>
      <c r="G68" s="57" t="n">
        <f aca="false">COUNTIF('Little Explorers 5-7'!$C:$C,$C68)</f>
        <v>9</v>
      </c>
      <c r="H68" s="57" t="n">
        <f aca="false">COUNTIF('Junior Makers 8-11'!$C:$C,$C68)</f>
        <v>12</v>
      </c>
      <c r="I68" s="57" t="n">
        <f aca="false">COUNTIF('Young Innovators 12-14'!$C:$C,$C68)</f>
        <v>8</v>
      </c>
      <c r="J68" s="57" t="n">
        <f aca="false">COUNTIF('Tech Leaders 15-17'!$C:$C,$C68)</f>
        <v>11</v>
      </c>
      <c r="K68" s="58" t="n">
        <f aca="false">MAX(_xlfn.MAXIFS('Little Explorers 5-7'!$D:$D,'Little Explorers 5-7'!$C:$C,$C68,'Little Explorers 5-7'!$E:$E,"Per group"),_xlfn.MAXIFS('Junior Makers 8-11'!$D:$D,'Junior Makers 8-11'!$C:$C,$C68,'Junior Makers 8-11'!$E:$E,"Per group"),_xlfn.MAXIFS('Young Innovators 12-14'!$D:$D,'Young Innovators 12-14'!$C:$C,$C68,'Young Innovators 12-14'!$E:$E,"Per group"),_xlfn.MAXIFS('Tech Leaders 15-17'!$D:$D,'Tech Leaders 15-17'!$C:$C,$C68,'Tech Leaders 15-17'!$E:$E,"Per group"))</f>
        <v>4</v>
      </c>
      <c r="L68" s="59" t="n">
        <f aca="false">MAX(_xlfn.MAXIFS('Little Explorers 5-7'!$D:$D,'Little Explorers 5-7'!$C:$C,$C68,'Little Explorers 5-7'!$E:$E,"Per class"),_xlfn.MAXIFS('Junior Makers 8-11'!$D:$D,'Junior Makers 8-11'!$C:$C,$C68,'Junior Makers 8-11'!$E:$E,"Per class"),_xlfn.MAXIFS('Young Innovators 12-14'!$D:$D,'Young Innovators 12-14'!$C:$C,$C68,'Young Innovators 12-14'!$E:$E,"Per class"),_xlfn.MAXIFS('Tech Leaders 15-17'!$D:$D,'Tech Leaders 15-17'!$C:$C,$C68,'Tech Leaders 15-17'!$E:$E,"Per class"))</f>
        <v>0</v>
      </c>
      <c r="M68" s="14" t="s">
        <v>781</v>
      </c>
      <c r="N68" s="14"/>
    </row>
    <row r="69" customFormat="false" ht="79.85" hidden="false" customHeight="false" outlineLevel="0" collapsed="false">
      <c r="A69" s="14" t="n">
        <v>55</v>
      </c>
      <c r="B69" s="14" t="s">
        <v>383</v>
      </c>
      <c r="C69" s="17" t="s">
        <v>403</v>
      </c>
      <c r="D69" s="14" t="s">
        <v>782</v>
      </c>
      <c r="E69" s="15" t="s">
        <v>394</v>
      </c>
      <c r="F69" s="56" t="n">
        <f aca="false">COUNTIF('Little Explorers 5-7'!$C:$C,$C69)+COUNTIF('Junior Makers 8-11'!$C:$C,$C69)+COUNTIF('Young Innovators 12-14'!$C:$C,$C69)+COUNTIF('Tech Leaders 15-17'!$C:$C,$C69)</f>
        <v>46</v>
      </c>
      <c r="G69" s="57" t="n">
        <f aca="false">COUNTIF('Little Explorers 5-7'!$C:$C,$C69)</f>
        <v>9</v>
      </c>
      <c r="H69" s="57" t="n">
        <f aca="false">COUNTIF('Junior Makers 8-11'!$C:$C,$C69)</f>
        <v>13</v>
      </c>
      <c r="I69" s="57" t="n">
        <f aca="false">COUNTIF('Young Innovators 12-14'!$C:$C,$C69)</f>
        <v>11</v>
      </c>
      <c r="J69" s="57" t="n">
        <f aca="false">COUNTIF('Tech Leaders 15-17'!$C:$C,$C69)</f>
        <v>13</v>
      </c>
      <c r="K69" s="58" t="n">
        <f aca="false">MAX(_xlfn.MAXIFS('Little Explorers 5-7'!$D:$D,'Little Explorers 5-7'!$C:$C,$C69,'Little Explorers 5-7'!$E:$E,"Per group"),_xlfn.MAXIFS('Junior Makers 8-11'!$D:$D,'Junior Makers 8-11'!$C:$C,$C69,'Junior Makers 8-11'!$E:$E,"Per group"),_xlfn.MAXIFS('Young Innovators 12-14'!$D:$D,'Young Innovators 12-14'!$C:$C,$C69,'Young Innovators 12-14'!$E:$E,"Per group"),_xlfn.MAXIFS('Tech Leaders 15-17'!$D:$D,'Tech Leaders 15-17'!$C:$C,$C69,'Tech Leaders 15-17'!$E:$E,"Per group"))</f>
        <v>20</v>
      </c>
      <c r="L69" s="59" t="n">
        <f aca="false">MAX(_xlfn.MAXIFS('Little Explorers 5-7'!$D:$D,'Little Explorers 5-7'!$C:$C,$C69,'Little Explorers 5-7'!$E:$E,"Per class"),_xlfn.MAXIFS('Junior Makers 8-11'!$D:$D,'Junior Makers 8-11'!$C:$C,$C69,'Junior Makers 8-11'!$E:$E,"Per class"),_xlfn.MAXIFS('Young Innovators 12-14'!$D:$D,'Young Innovators 12-14'!$C:$C,$C69,'Young Innovators 12-14'!$E:$E,"Per class"),_xlfn.MAXIFS('Tech Leaders 15-17'!$D:$D,'Tech Leaders 15-17'!$C:$C,$C69,'Tech Leaders 15-17'!$E:$E,"Per class"))</f>
        <v>0</v>
      </c>
      <c r="M69" s="14" t="s">
        <v>783</v>
      </c>
      <c r="N69" s="14"/>
    </row>
    <row r="70" customFormat="false" ht="68.65" hidden="false" customHeight="false" outlineLevel="0" collapsed="false">
      <c r="A70" s="14" t="n">
        <v>56</v>
      </c>
      <c r="B70" s="14" t="s">
        <v>383</v>
      </c>
      <c r="C70" s="17" t="s">
        <v>421</v>
      </c>
      <c r="D70" s="14" t="s">
        <v>784</v>
      </c>
      <c r="E70" s="15" t="s">
        <v>394</v>
      </c>
      <c r="F70" s="56" t="n">
        <f aca="false">COUNTIF('Little Explorers 5-7'!$C:$C,$C70)+COUNTIF('Junior Makers 8-11'!$C:$C,$C70)+COUNTIF('Young Innovators 12-14'!$C:$C,$C70)+COUNTIF('Tech Leaders 15-17'!$C:$C,$C70)</f>
        <v>38</v>
      </c>
      <c r="G70" s="57" t="n">
        <f aca="false">COUNTIF('Little Explorers 5-7'!$C:$C,$C70)</f>
        <v>4</v>
      </c>
      <c r="H70" s="57" t="n">
        <f aca="false">COUNTIF('Junior Makers 8-11'!$C:$C,$C70)</f>
        <v>11</v>
      </c>
      <c r="I70" s="57" t="n">
        <f aca="false">COUNTIF('Young Innovators 12-14'!$C:$C,$C70)</f>
        <v>10</v>
      </c>
      <c r="J70" s="57" t="n">
        <f aca="false">COUNTIF('Tech Leaders 15-17'!$C:$C,$C70)</f>
        <v>13</v>
      </c>
      <c r="K70" s="58" t="n">
        <f aca="false">MAX(_xlfn.MAXIFS('Little Explorers 5-7'!$D:$D,'Little Explorers 5-7'!$C:$C,$C70,'Little Explorers 5-7'!$E:$E,"Per group"),_xlfn.MAXIFS('Junior Makers 8-11'!$D:$D,'Junior Makers 8-11'!$C:$C,$C70,'Junior Makers 8-11'!$E:$E,"Per group"),_xlfn.MAXIFS('Young Innovators 12-14'!$D:$D,'Young Innovators 12-14'!$C:$C,$C70,'Young Innovators 12-14'!$E:$E,"Per group"),_xlfn.MAXIFS('Tech Leaders 15-17'!$D:$D,'Tech Leaders 15-17'!$C:$C,$C70,'Tech Leaders 15-17'!$E:$E,"Per group"))</f>
        <v>16</v>
      </c>
      <c r="L70" s="59" t="n">
        <f aca="false">MAX(_xlfn.MAXIFS('Little Explorers 5-7'!$D:$D,'Little Explorers 5-7'!$C:$C,$C70,'Little Explorers 5-7'!$E:$E,"Per class"),_xlfn.MAXIFS('Junior Makers 8-11'!$D:$D,'Junior Makers 8-11'!$C:$C,$C70,'Junior Makers 8-11'!$E:$E,"Per class"),_xlfn.MAXIFS('Young Innovators 12-14'!$D:$D,'Young Innovators 12-14'!$C:$C,$C70,'Young Innovators 12-14'!$E:$E,"Per class"),_xlfn.MAXIFS('Tech Leaders 15-17'!$D:$D,'Tech Leaders 15-17'!$C:$C,$C70,'Tech Leaders 15-17'!$E:$E,"Per class"))</f>
        <v>0</v>
      </c>
      <c r="M70" s="14" t="s">
        <v>785</v>
      </c>
      <c r="N70" s="14"/>
    </row>
    <row r="71" customFormat="false" ht="15" hidden="false" customHeight="false" outlineLevel="0" collapsed="false">
      <c r="A71" s="14" t="n">
        <v>57</v>
      </c>
      <c r="B71" s="14" t="s">
        <v>383</v>
      </c>
      <c r="C71" s="17" t="s">
        <v>409</v>
      </c>
      <c r="D71" s="14" t="s">
        <v>786</v>
      </c>
      <c r="E71" s="15" t="s">
        <v>394</v>
      </c>
      <c r="F71" s="56" t="n">
        <f aca="false">COUNTIF('Little Explorers 5-7'!$C:$C,$C71)+COUNTIF('Junior Makers 8-11'!$C:$C,$C71)+COUNTIF('Young Innovators 12-14'!$C:$C,$C71)+COUNTIF('Tech Leaders 15-17'!$C:$C,$C71)</f>
        <v>1</v>
      </c>
      <c r="G71" s="57" t="n">
        <f aca="false">COUNTIF('Little Explorers 5-7'!$C:$C,$C71)</f>
        <v>1</v>
      </c>
      <c r="H71" s="57" t="n">
        <f aca="false">COUNTIF('Junior Makers 8-11'!$C:$C,$C71)</f>
        <v>0</v>
      </c>
      <c r="I71" s="57" t="n">
        <f aca="false">COUNTIF('Young Innovators 12-14'!$C:$C,$C71)</f>
        <v>0</v>
      </c>
      <c r="J71" s="57" t="n">
        <f aca="false">COUNTIF('Tech Leaders 15-17'!$C:$C,$C71)</f>
        <v>0</v>
      </c>
      <c r="K71" s="58" t="n">
        <f aca="false">MAX(_xlfn.MAXIFS('Little Explorers 5-7'!$D:$D,'Little Explorers 5-7'!$C:$C,$C71,'Little Explorers 5-7'!$E:$E,"Per group"),_xlfn.MAXIFS('Junior Makers 8-11'!$D:$D,'Junior Makers 8-11'!$C:$C,$C71,'Junior Makers 8-11'!$E:$E,"Per group"),_xlfn.MAXIFS('Young Innovators 12-14'!$D:$D,'Young Innovators 12-14'!$C:$C,$C71,'Young Innovators 12-14'!$E:$E,"Per group"),_xlfn.MAXIFS('Tech Leaders 15-17'!$D:$D,'Tech Leaders 15-17'!$C:$C,$C71,'Tech Leaders 15-17'!$E:$E,"Per group"))</f>
        <v>5</v>
      </c>
      <c r="L71" s="59" t="n">
        <f aca="false">MAX(_xlfn.MAXIFS('Little Explorers 5-7'!$D:$D,'Little Explorers 5-7'!$C:$C,$C71,'Little Explorers 5-7'!$E:$E,"Per class"),_xlfn.MAXIFS('Junior Makers 8-11'!$D:$D,'Junior Makers 8-11'!$C:$C,$C71,'Junior Makers 8-11'!$E:$E,"Per class"),_xlfn.MAXIFS('Young Innovators 12-14'!$D:$D,'Young Innovators 12-14'!$C:$C,$C71,'Young Innovators 12-14'!$E:$E,"Per class"),_xlfn.MAXIFS('Tech Leaders 15-17'!$D:$D,'Tech Leaders 15-17'!$C:$C,$C71,'Tech Leaders 15-17'!$E:$E,"Per class"))</f>
        <v>0</v>
      </c>
      <c r="M71" s="14" t="s">
        <v>60</v>
      </c>
      <c r="N71" s="14"/>
    </row>
    <row r="72" customFormat="false" ht="15" hidden="false" customHeight="false" outlineLevel="0" collapsed="false">
      <c r="A72" s="14" t="n">
        <v>58</v>
      </c>
      <c r="B72" s="14" t="s">
        <v>383</v>
      </c>
      <c r="C72" s="17" t="s">
        <v>384</v>
      </c>
      <c r="D72" s="14" t="s">
        <v>787</v>
      </c>
      <c r="E72" s="60" t="s">
        <v>380</v>
      </c>
      <c r="F72" s="56" t="n">
        <f aca="false">COUNTIF('Little Explorers 5-7'!$C:$C,$C72)+COUNTIF('Junior Makers 8-11'!$C:$C,$C72)+COUNTIF('Young Innovators 12-14'!$C:$C,$C72)+COUNTIF('Tech Leaders 15-17'!$C:$C,$C72)</f>
        <v>1</v>
      </c>
      <c r="G72" s="57" t="n">
        <f aca="false">COUNTIF('Little Explorers 5-7'!$C:$C,$C72)</f>
        <v>1</v>
      </c>
      <c r="H72" s="57" t="n">
        <f aca="false">COUNTIF('Junior Makers 8-11'!$C:$C,$C72)</f>
        <v>0</v>
      </c>
      <c r="I72" s="57" t="n">
        <f aca="false">COUNTIF('Young Innovators 12-14'!$C:$C,$C72)</f>
        <v>0</v>
      </c>
      <c r="J72" s="57" t="n">
        <f aca="false">COUNTIF('Tech Leaders 15-17'!$C:$C,$C72)</f>
        <v>0</v>
      </c>
      <c r="K72" s="58" t="n">
        <f aca="false">MAX(_xlfn.MAXIFS('Little Explorers 5-7'!$D:$D,'Little Explorers 5-7'!$C:$C,$C72,'Little Explorers 5-7'!$E:$E,"Per group"),_xlfn.MAXIFS('Junior Makers 8-11'!$D:$D,'Junior Makers 8-11'!$C:$C,$C72,'Junior Makers 8-11'!$E:$E,"Per group"),_xlfn.MAXIFS('Young Innovators 12-14'!$D:$D,'Young Innovators 12-14'!$C:$C,$C72,'Young Innovators 12-14'!$E:$E,"Per group"),_xlfn.MAXIFS('Tech Leaders 15-17'!$D:$D,'Tech Leaders 15-17'!$C:$C,$C72,'Tech Leaders 15-17'!$E:$E,"Per group"))</f>
        <v>1</v>
      </c>
      <c r="L72" s="59" t="n">
        <f aca="false">MAX(_xlfn.MAXIFS('Little Explorers 5-7'!$D:$D,'Little Explorers 5-7'!$C:$C,$C72,'Little Explorers 5-7'!$E:$E,"Per class"),_xlfn.MAXIFS('Junior Makers 8-11'!$D:$D,'Junior Makers 8-11'!$C:$C,$C72,'Junior Makers 8-11'!$E:$E,"Per class"),_xlfn.MAXIFS('Young Innovators 12-14'!$D:$D,'Young Innovators 12-14'!$C:$C,$C72,'Young Innovators 12-14'!$E:$E,"Per class"),_xlfn.MAXIFS('Tech Leaders 15-17'!$D:$D,'Tech Leaders 15-17'!$C:$C,$C72,'Tech Leaders 15-17'!$E:$E,"Per class"))</f>
        <v>0</v>
      </c>
      <c r="M72" s="14" t="s">
        <v>45</v>
      </c>
      <c r="N72" s="14"/>
    </row>
    <row r="73" customFormat="false" ht="15" hidden="false" customHeight="false" outlineLevel="0" collapsed="false">
      <c r="A73" s="14" t="n">
        <v>59</v>
      </c>
      <c r="B73" s="14" t="s">
        <v>383</v>
      </c>
      <c r="C73" s="17" t="s">
        <v>456</v>
      </c>
      <c r="D73" s="14" t="s">
        <v>788</v>
      </c>
      <c r="E73" s="60" t="s">
        <v>380</v>
      </c>
      <c r="F73" s="56" t="n">
        <f aca="false">COUNTIF('Little Explorers 5-7'!$C:$C,$C73)+COUNTIF('Junior Makers 8-11'!$C:$C,$C73)+COUNTIF('Young Innovators 12-14'!$C:$C,$C73)+COUNTIF('Tech Leaders 15-17'!$C:$C,$C73)</f>
        <v>1</v>
      </c>
      <c r="G73" s="57" t="n">
        <f aca="false">COUNTIF('Little Explorers 5-7'!$C:$C,$C73)</f>
        <v>1</v>
      </c>
      <c r="H73" s="57" t="n">
        <f aca="false">COUNTIF('Junior Makers 8-11'!$C:$C,$C73)</f>
        <v>0</v>
      </c>
      <c r="I73" s="57" t="n">
        <f aca="false">COUNTIF('Young Innovators 12-14'!$C:$C,$C73)</f>
        <v>0</v>
      </c>
      <c r="J73" s="57" t="n">
        <f aca="false">COUNTIF('Tech Leaders 15-17'!$C:$C,$C73)</f>
        <v>0</v>
      </c>
      <c r="K73" s="58" t="n">
        <f aca="false">MAX(_xlfn.MAXIFS('Little Explorers 5-7'!$D:$D,'Little Explorers 5-7'!$C:$C,$C73,'Little Explorers 5-7'!$E:$E,"Per group"),_xlfn.MAXIFS('Junior Makers 8-11'!$D:$D,'Junior Makers 8-11'!$C:$C,$C73,'Junior Makers 8-11'!$E:$E,"Per group"),_xlfn.MAXIFS('Young Innovators 12-14'!$D:$D,'Young Innovators 12-14'!$C:$C,$C73,'Young Innovators 12-14'!$E:$E,"Per group"),_xlfn.MAXIFS('Tech Leaders 15-17'!$D:$D,'Tech Leaders 15-17'!$C:$C,$C73,'Tech Leaders 15-17'!$E:$E,"Per group"))</f>
        <v>0</v>
      </c>
      <c r="L73" s="59" t="n">
        <f aca="false">MAX(_xlfn.MAXIFS('Little Explorers 5-7'!$D:$D,'Little Explorers 5-7'!$C:$C,$C73,'Little Explorers 5-7'!$E:$E,"Per class"),_xlfn.MAXIFS('Junior Makers 8-11'!$D:$D,'Junior Makers 8-11'!$C:$C,$C73,'Junior Makers 8-11'!$E:$E,"Per class"),_xlfn.MAXIFS('Young Innovators 12-14'!$D:$D,'Young Innovators 12-14'!$C:$C,$C73,'Young Innovators 12-14'!$E:$E,"Per class"),_xlfn.MAXIFS('Tech Leaders 15-17'!$D:$D,'Tech Leaders 15-17'!$C:$C,$C73,'Tech Leaders 15-17'!$E:$E,"Per class"))</f>
        <v>1</v>
      </c>
      <c r="M73" s="14" t="s">
        <v>119</v>
      </c>
      <c r="N73" s="14"/>
    </row>
    <row r="74" customFormat="false" ht="15" hidden="false" customHeight="false" outlineLevel="0" collapsed="false">
      <c r="A74" s="4"/>
      <c r="B74" s="55" t="s">
        <v>789</v>
      </c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</row>
    <row r="75" customFormat="false" ht="91" hidden="false" customHeight="false" outlineLevel="0" collapsed="false">
      <c r="A75" s="14" t="n">
        <v>60</v>
      </c>
      <c r="B75" s="14" t="s">
        <v>404</v>
      </c>
      <c r="C75" s="17" t="s">
        <v>405</v>
      </c>
      <c r="D75" s="14" t="s">
        <v>790</v>
      </c>
      <c r="E75" s="15" t="s">
        <v>394</v>
      </c>
      <c r="F75" s="56" t="n">
        <f aca="false">COUNTIF('Little Explorers 5-7'!$C:$C,$C75)+COUNTIF('Junior Makers 8-11'!$C:$C,$C75)+COUNTIF('Young Innovators 12-14'!$C:$C,$C75)+COUNTIF('Tech Leaders 15-17'!$C:$C,$C75)</f>
        <v>58</v>
      </c>
      <c r="G75" s="57" t="n">
        <f aca="false">COUNTIF('Little Explorers 5-7'!$C:$C,$C75)</f>
        <v>11</v>
      </c>
      <c r="H75" s="57" t="n">
        <f aca="false">COUNTIF('Junior Makers 8-11'!$C:$C,$C75)</f>
        <v>16</v>
      </c>
      <c r="I75" s="57" t="n">
        <f aca="false">COUNTIF('Young Innovators 12-14'!$C:$C,$C75)</f>
        <v>15</v>
      </c>
      <c r="J75" s="57" t="n">
        <f aca="false">COUNTIF('Tech Leaders 15-17'!$C:$C,$C75)</f>
        <v>16</v>
      </c>
      <c r="K75" s="58" t="n">
        <f aca="false">MAX(_xlfn.MAXIFS('Little Explorers 5-7'!$D:$D,'Little Explorers 5-7'!$C:$C,$C75,'Little Explorers 5-7'!$E:$E,"Per group"),_xlfn.MAXIFS('Junior Makers 8-11'!$D:$D,'Junior Makers 8-11'!$C:$C,$C75,'Junior Makers 8-11'!$E:$E,"Per group"),_xlfn.MAXIFS('Young Innovators 12-14'!$D:$D,'Young Innovators 12-14'!$C:$C,$C75,'Young Innovators 12-14'!$E:$E,"Per group"),_xlfn.MAXIFS('Tech Leaders 15-17'!$D:$D,'Tech Leaders 15-17'!$C:$C,$C75,'Tech Leaders 15-17'!$E:$E,"Per group"))</f>
        <v>2</v>
      </c>
      <c r="L75" s="59" t="n">
        <f aca="false">MAX(_xlfn.MAXIFS('Little Explorers 5-7'!$D:$D,'Little Explorers 5-7'!$C:$C,$C75,'Little Explorers 5-7'!$E:$E,"Per class"),_xlfn.MAXIFS('Junior Makers 8-11'!$D:$D,'Junior Makers 8-11'!$C:$C,$C75,'Junior Makers 8-11'!$E:$E,"Per class"),_xlfn.MAXIFS('Young Innovators 12-14'!$D:$D,'Young Innovators 12-14'!$C:$C,$C75,'Young Innovators 12-14'!$E:$E,"Per class"),_xlfn.MAXIFS('Tech Leaders 15-17'!$D:$D,'Tech Leaders 15-17'!$C:$C,$C75,'Tech Leaders 15-17'!$E:$E,"Per class"))</f>
        <v>0</v>
      </c>
      <c r="M75" s="14" t="s">
        <v>791</v>
      </c>
      <c r="N75" s="14" t="s">
        <v>792</v>
      </c>
    </row>
    <row r="76" customFormat="false" ht="15" hidden="false" customHeight="false" outlineLevel="0" collapsed="false">
      <c r="A76" s="14" t="n">
        <v>61</v>
      </c>
      <c r="B76" s="14" t="s">
        <v>404</v>
      </c>
      <c r="C76" s="17" t="s">
        <v>460</v>
      </c>
      <c r="D76" s="14" t="s">
        <v>793</v>
      </c>
      <c r="E76" s="15" t="s">
        <v>394</v>
      </c>
      <c r="F76" s="56" t="n">
        <f aca="false">COUNTIF('Little Explorers 5-7'!$C:$C,$C76)+COUNTIF('Junior Makers 8-11'!$C:$C,$C76)+COUNTIF('Young Innovators 12-14'!$C:$C,$C76)+COUNTIF('Tech Leaders 15-17'!$C:$C,$C76)</f>
        <v>1</v>
      </c>
      <c r="G76" s="57" t="n">
        <f aca="false">COUNTIF('Little Explorers 5-7'!$C:$C,$C76)</f>
        <v>1</v>
      </c>
      <c r="H76" s="57" t="n">
        <f aca="false">COUNTIF('Junior Makers 8-11'!$C:$C,$C76)</f>
        <v>0</v>
      </c>
      <c r="I76" s="57" t="n">
        <f aca="false">COUNTIF('Young Innovators 12-14'!$C:$C,$C76)</f>
        <v>0</v>
      </c>
      <c r="J76" s="57" t="n">
        <f aca="false">COUNTIF('Tech Leaders 15-17'!$C:$C,$C76)</f>
        <v>0</v>
      </c>
      <c r="K76" s="58" t="n">
        <f aca="false">MAX(_xlfn.MAXIFS('Little Explorers 5-7'!$D:$D,'Little Explorers 5-7'!$C:$C,$C76,'Little Explorers 5-7'!$E:$E,"Per group"),_xlfn.MAXIFS('Junior Makers 8-11'!$D:$D,'Junior Makers 8-11'!$C:$C,$C76,'Junior Makers 8-11'!$E:$E,"Per group"),_xlfn.MAXIFS('Young Innovators 12-14'!$D:$D,'Young Innovators 12-14'!$C:$C,$C76,'Young Innovators 12-14'!$E:$E,"Per group"),_xlfn.MAXIFS('Tech Leaders 15-17'!$D:$D,'Tech Leaders 15-17'!$C:$C,$C76,'Tech Leaders 15-17'!$E:$E,"Per group"))</f>
        <v>1</v>
      </c>
      <c r="L76" s="59" t="n">
        <f aca="false">MAX(_xlfn.MAXIFS('Little Explorers 5-7'!$D:$D,'Little Explorers 5-7'!$C:$C,$C76,'Little Explorers 5-7'!$E:$E,"Per class"),_xlfn.MAXIFS('Junior Makers 8-11'!$D:$D,'Junior Makers 8-11'!$C:$C,$C76,'Junior Makers 8-11'!$E:$E,"Per class"),_xlfn.MAXIFS('Young Innovators 12-14'!$D:$D,'Young Innovators 12-14'!$C:$C,$C76,'Young Innovators 12-14'!$E:$E,"Per class"),_xlfn.MAXIFS('Tech Leaders 15-17'!$D:$D,'Tech Leaders 15-17'!$C:$C,$C76,'Tech Leaders 15-17'!$E:$E,"Per class"))</f>
        <v>0</v>
      </c>
      <c r="M76" s="14" t="s">
        <v>126</v>
      </c>
      <c r="N76" s="14" t="s">
        <v>794</v>
      </c>
    </row>
    <row r="77" customFormat="false" ht="23.85" hidden="false" customHeight="false" outlineLevel="0" collapsed="false">
      <c r="A77" s="14" t="n">
        <v>62</v>
      </c>
      <c r="B77" s="14" t="s">
        <v>404</v>
      </c>
      <c r="C77" s="17" t="s">
        <v>527</v>
      </c>
      <c r="D77" s="14" t="s">
        <v>795</v>
      </c>
      <c r="E77" s="15" t="s">
        <v>394</v>
      </c>
      <c r="F77" s="56" t="n">
        <f aca="false">COUNTIF('Little Explorers 5-7'!$C:$C,$C77)+COUNTIF('Junior Makers 8-11'!$C:$C,$C77)+COUNTIF('Young Innovators 12-14'!$C:$C,$C77)+COUNTIF('Tech Leaders 15-17'!$C:$C,$C77)</f>
        <v>3</v>
      </c>
      <c r="G77" s="57" t="n">
        <f aca="false">COUNTIF('Little Explorers 5-7'!$C:$C,$C77)</f>
        <v>0</v>
      </c>
      <c r="H77" s="57" t="n">
        <f aca="false">COUNTIF('Junior Makers 8-11'!$C:$C,$C77)</f>
        <v>1</v>
      </c>
      <c r="I77" s="57" t="n">
        <f aca="false">COUNTIF('Young Innovators 12-14'!$C:$C,$C77)</f>
        <v>2</v>
      </c>
      <c r="J77" s="57" t="n">
        <f aca="false">COUNTIF('Tech Leaders 15-17'!$C:$C,$C77)</f>
        <v>0</v>
      </c>
      <c r="K77" s="58" t="n">
        <f aca="false">MAX(_xlfn.MAXIFS('Little Explorers 5-7'!$D:$D,'Little Explorers 5-7'!$C:$C,$C77,'Little Explorers 5-7'!$E:$E,"Per group"),_xlfn.MAXIFS('Junior Makers 8-11'!$D:$D,'Junior Makers 8-11'!$C:$C,$C77,'Junior Makers 8-11'!$E:$E,"Per group"),_xlfn.MAXIFS('Young Innovators 12-14'!$D:$D,'Young Innovators 12-14'!$C:$C,$C77,'Young Innovators 12-14'!$E:$E,"Per group"),_xlfn.MAXIFS('Tech Leaders 15-17'!$D:$D,'Tech Leaders 15-17'!$C:$C,$C77,'Tech Leaders 15-17'!$E:$E,"Per group"))</f>
        <v>1</v>
      </c>
      <c r="L77" s="59" t="n">
        <f aca="false">MAX(_xlfn.MAXIFS('Little Explorers 5-7'!$D:$D,'Little Explorers 5-7'!$C:$C,$C77,'Little Explorers 5-7'!$E:$E,"Per class"),_xlfn.MAXIFS('Junior Makers 8-11'!$D:$D,'Junior Makers 8-11'!$C:$C,$C77,'Junior Makers 8-11'!$E:$E,"Per class"),_xlfn.MAXIFS('Young Innovators 12-14'!$D:$D,'Young Innovators 12-14'!$C:$C,$C77,'Young Innovators 12-14'!$E:$E,"Per class"),_xlfn.MAXIFS('Tech Leaders 15-17'!$D:$D,'Tech Leaders 15-17'!$C:$C,$C77,'Tech Leaders 15-17'!$E:$E,"Per class"))</f>
        <v>0</v>
      </c>
      <c r="M77" s="14" t="s">
        <v>796</v>
      </c>
      <c r="N77" s="14" t="s">
        <v>797</v>
      </c>
    </row>
    <row r="78" customFormat="false" ht="15" hidden="false" customHeight="false" outlineLevel="0" collapsed="false">
      <c r="A78" s="14" t="n">
        <v>63</v>
      </c>
      <c r="B78" s="14" t="s">
        <v>404</v>
      </c>
      <c r="C78" s="17" t="s">
        <v>537</v>
      </c>
      <c r="D78" s="14" t="s">
        <v>798</v>
      </c>
      <c r="E78" s="15" t="s">
        <v>394</v>
      </c>
      <c r="F78" s="56" t="n">
        <f aca="false">COUNTIF('Little Explorers 5-7'!$C:$C,$C78)+COUNTIF('Junior Makers 8-11'!$C:$C,$C78)+COUNTIF('Young Innovators 12-14'!$C:$C,$C78)+COUNTIF('Tech Leaders 15-17'!$C:$C,$C78)</f>
        <v>1</v>
      </c>
      <c r="G78" s="57" t="n">
        <f aca="false">COUNTIF('Little Explorers 5-7'!$C:$C,$C78)</f>
        <v>0</v>
      </c>
      <c r="H78" s="57" t="n">
        <f aca="false">COUNTIF('Junior Makers 8-11'!$C:$C,$C78)</f>
        <v>1</v>
      </c>
      <c r="I78" s="57" t="n">
        <f aca="false">COUNTIF('Young Innovators 12-14'!$C:$C,$C78)</f>
        <v>0</v>
      </c>
      <c r="J78" s="57" t="n">
        <f aca="false">COUNTIF('Tech Leaders 15-17'!$C:$C,$C78)</f>
        <v>0</v>
      </c>
      <c r="K78" s="58" t="n">
        <f aca="false">MAX(_xlfn.MAXIFS('Little Explorers 5-7'!$D:$D,'Little Explorers 5-7'!$C:$C,$C78,'Little Explorers 5-7'!$E:$E,"Per group"),_xlfn.MAXIFS('Junior Makers 8-11'!$D:$D,'Junior Makers 8-11'!$C:$C,$C78,'Junior Makers 8-11'!$E:$E,"Per group"),_xlfn.MAXIFS('Young Innovators 12-14'!$D:$D,'Young Innovators 12-14'!$C:$C,$C78,'Young Innovators 12-14'!$E:$E,"Per group"),_xlfn.MAXIFS('Tech Leaders 15-17'!$D:$D,'Tech Leaders 15-17'!$C:$C,$C78,'Tech Leaders 15-17'!$E:$E,"Per group"))</f>
        <v>1</v>
      </c>
      <c r="L78" s="59" t="n">
        <f aca="false">MAX(_xlfn.MAXIFS('Little Explorers 5-7'!$D:$D,'Little Explorers 5-7'!$C:$C,$C78,'Little Explorers 5-7'!$E:$E,"Per class"),_xlfn.MAXIFS('Junior Makers 8-11'!$D:$D,'Junior Makers 8-11'!$C:$C,$C78,'Junior Makers 8-11'!$E:$E,"Per class"),_xlfn.MAXIFS('Young Innovators 12-14'!$D:$D,'Young Innovators 12-14'!$C:$C,$C78,'Young Innovators 12-14'!$E:$E,"Per class"),_xlfn.MAXIFS('Tech Leaders 15-17'!$D:$D,'Tech Leaders 15-17'!$C:$C,$C78,'Tech Leaders 15-17'!$E:$E,"Per class"))</f>
        <v>0</v>
      </c>
      <c r="M78" s="14" t="s">
        <v>219</v>
      </c>
      <c r="N78" s="14"/>
    </row>
    <row r="79" customFormat="false" ht="15" hidden="false" customHeight="false" outlineLevel="0" collapsed="false">
      <c r="A79" s="14" t="n">
        <v>64</v>
      </c>
      <c r="B79" s="14" t="s">
        <v>404</v>
      </c>
      <c r="C79" s="17" t="s">
        <v>512</v>
      </c>
      <c r="D79" s="14" t="s">
        <v>799</v>
      </c>
      <c r="E79" s="15" t="s">
        <v>394</v>
      </c>
      <c r="F79" s="56" t="n">
        <f aca="false">COUNTIF('Little Explorers 5-7'!$C:$C,$C79)+COUNTIF('Junior Makers 8-11'!$C:$C,$C79)+COUNTIF('Young Innovators 12-14'!$C:$C,$C79)+COUNTIF('Tech Leaders 15-17'!$C:$C,$C79)</f>
        <v>3</v>
      </c>
      <c r="G79" s="57" t="n">
        <f aca="false">COUNTIF('Little Explorers 5-7'!$C:$C,$C79)</f>
        <v>0</v>
      </c>
      <c r="H79" s="57" t="n">
        <f aca="false">COUNTIF('Junior Makers 8-11'!$C:$C,$C79)</f>
        <v>1</v>
      </c>
      <c r="I79" s="57" t="n">
        <f aca="false">COUNTIF('Young Innovators 12-14'!$C:$C,$C79)</f>
        <v>1</v>
      </c>
      <c r="J79" s="57" t="n">
        <f aca="false">COUNTIF('Tech Leaders 15-17'!$C:$C,$C79)</f>
        <v>1</v>
      </c>
      <c r="K79" s="58" t="n">
        <f aca="false">MAX(_xlfn.MAXIFS('Little Explorers 5-7'!$D:$D,'Little Explorers 5-7'!$C:$C,$C79,'Little Explorers 5-7'!$E:$E,"Per group"),_xlfn.MAXIFS('Junior Makers 8-11'!$D:$D,'Junior Makers 8-11'!$C:$C,$C79,'Junior Makers 8-11'!$E:$E,"Per group"),_xlfn.MAXIFS('Young Innovators 12-14'!$D:$D,'Young Innovators 12-14'!$C:$C,$C79,'Young Innovators 12-14'!$E:$E,"Per group"),_xlfn.MAXIFS('Tech Leaders 15-17'!$D:$D,'Tech Leaders 15-17'!$C:$C,$C79,'Tech Leaders 15-17'!$E:$E,"Per group"))</f>
        <v>0</v>
      </c>
      <c r="L79" s="59" t="n">
        <f aca="false">MAX(_xlfn.MAXIFS('Little Explorers 5-7'!$D:$D,'Little Explorers 5-7'!$C:$C,$C79,'Little Explorers 5-7'!$E:$E,"Per class"),_xlfn.MAXIFS('Junior Makers 8-11'!$D:$D,'Junior Makers 8-11'!$C:$C,$C79,'Junior Makers 8-11'!$E:$E,"Per class"),_xlfn.MAXIFS('Young Innovators 12-14'!$D:$D,'Young Innovators 12-14'!$C:$C,$C79,'Young Innovators 12-14'!$E:$E,"Per class"),_xlfn.MAXIFS('Tech Leaders 15-17'!$D:$D,'Tech Leaders 15-17'!$C:$C,$C79,'Tech Leaders 15-17'!$E:$E,"Per class"))</f>
        <v>1</v>
      </c>
      <c r="M79" s="14" t="s">
        <v>800</v>
      </c>
      <c r="N79" s="14"/>
    </row>
    <row r="80" customFormat="false" ht="15" hidden="false" customHeight="false" outlineLevel="0" collapsed="false">
      <c r="A80" s="14" t="n">
        <v>65</v>
      </c>
      <c r="B80" s="14" t="s">
        <v>404</v>
      </c>
      <c r="C80" s="17" t="s">
        <v>513</v>
      </c>
      <c r="D80" s="14" t="s">
        <v>801</v>
      </c>
      <c r="E80" s="60" t="s">
        <v>380</v>
      </c>
      <c r="F80" s="56" t="n">
        <f aca="false">COUNTIF('Little Explorers 5-7'!$C:$C,$C80)+COUNTIF('Junior Makers 8-11'!$C:$C,$C80)+COUNTIF('Young Innovators 12-14'!$C:$C,$C80)+COUNTIF('Tech Leaders 15-17'!$C:$C,$C80)</f>
        <v>3</v>
      </c>
      <c r="G80" s="57" t="n">
        <f aca="false">COUNTIF('Little Explorers 5-7'!$C:$C,$C80)</f>
        <v>0</v>
      </c>
      <c r="H80" s="57" t="n">
        <f aca="false">COUNTIF('Junior Makers 8-11'!$C:$C,$C80)</f>
        <v>1</v>
      </c>
      <c r="I80" s="57" t="n">
        <f aca="false">COUNTIF('Young Innovators 12-14'!$C:$C,$C80)</f>
        <v>1</v>
      </c>
      <c r="J80" s="57" t="n">
        <f aca="false">COUNTIF('Tech Leaders 15-17'!$C:$C,$C80)</f>
        <v>1</v>
      </c>
      <c r="K80" s="58" t="n">
        <f aca="false">MAX(_xlfn.MAXIFS('Little Explorers 5-7'!$D:$D,'Little Explorers 5-7'!$C:$C,$C80,'Little Explorers 5-7'!$E:$E,"Per group"),_xlfn.MAXIFS('Junior Makers 8-11'!$D:$D,'Junior Makers 8-11'!$C:$C,$C80,'Junior Makers 8-11'!$E:$E,"Per group"),_xlfn.MAXIFS('Young Innovators 12-14'!$D:$D,'Young Innovators 12-14'!$C:$C,$C80,'Young Innovators 12-14'!$E:$E,"Per group"),_xlfn.MAXIFS('Tech Leaders 15-17'!$D:$D,'Tech Leaders 15-17'!$C:$C,$C80,'Tech Leaders 15-17'!$E:$E,"Per group"))</f>
        <v>0</v>
      </c>
      <c r="L80" s="59" t="n">
        <f aca="false">MAX(_xlfn.MAXIFS('Little Explorers 5-7'!$D:$D,'Little Explorers 5-7'!$C:$C,$C80,'Little Explorers 5-7'!$E:$E,"Per class"),_xlfn.MAXIFS('Junior Makers 8-11'!$D:$D,'Junior Makers 8-11'!$C:$C,$C80,'Junior Makers 8-11'!$E:$E,"Per class"),_xlfn.MAXIFS('Young Innovators 12-14'!$D:$D,'Young Innovators 12-14'!$C:$C,$C80,'Young Innovators 12-14'!$E:$E,"Per class"),_xlfn.MAXIFS('Tech Leaders 15-17'!$D:$D,'Tech Leaders 15-17'!$C:$C,$C80,'Tech Leaders 15-17'!$E:$E,"Per class"))</f>
        <v>1</v>
      </c>
      <c r="M80" s="14" t="s">
        <v>800</v>
      </c>
      <c r="N80" s="14"/>
    </row>
    <row r="81" customFormat="false" ht="15" hidden="false" customHeight="false" outlineLevel="0" collapsed="false">
      <c r="A81" s="14" t="n">
        <v>66</v>
      </c>
      <c r="B81" s="14" t="s">
        <v>404</v>
      </c>
      <c r="C81" s="17" t="s">
        <v>475</v>
      </c>
      <c r="D81" s="14" t="s">
        <v>475</v>
      </c>
      <c r="E81" s="15" t="s">
        <v>394</v>
      </c>
      <c r="F81" s="56" t="n">
        <f aca="false">COUNTIF('Little Explorers 5-7'!$C:$C,$C81)+COUNTIF('Junior Makers 8-11'!$C:$C,$C81)+COUNTIF('Young Innovators 12-14'!$C:$C,$C81)+COUNTIF('Tech Leaders 15-17'!$C:$C,$C81)</f>
        <v>5</v>
      </c>
      <c r="G81" s="57" t="n">
        <f aca="false">COUNTIF('Little Explorers 5-7'!$C:$C,$C81)</f>
        <v>0</v>
      </c>
      <c r="H81" s="57" t="n">
        <f aca="false">COUNTIF('Junior Makers 8-11'!$C:$C,$C81)</f>
        <v>2</v>
      </c>
      <c r="I81" s="57" t="n">
        <f aca="false">COUNTIF('Young Innovators 12-14'!$C:$C,$C81)</f>
        <v>2</v>
      </c>
      <c r="J81" s="57" t="n">
        <f aca="false">COUNTIF('Tech Leaders 15-17'!$C:$C,$C81)</f>
        <v>1</v>
      </c>
      <c r="K81" s="58" t="n">
        <f aca="false">MAX(_xlfn.MAXIFS('Little Explorers 5-7'!$D:$D,'Little Explorers 5-7'!$C:$C,$C81,'Little Explorers 5-7'!$E:$E,"Per group"),_xlfn.MAXIFS('Junior Makers 8-11'!$D:$D,'Junior Makers 8-11'!$C:$C,$C81,'Junior Makers 8-11'!$E:$E,"Per group"),_xlfn.MAXIFS('Young Innovators 12-14'!$D:$D,'Young Innovators 12-14'!$C:$C,$C81,'Young Innovators 12-14'!$E:$E,"Per group"),_xlfn.MAXIFS('Tech Leaders 15-17'!$D:$D,'Tech Leaders 15-17'!$C:$C,$C81,'Tech Leaders 15-17'!$E:$E,"Per group"))</f>
        <v>1</v>
      </c>
      <c r="L81" s="59" t="n">
        <f aca="false">MAX(_xlfn.MAXIFS('Little Explorers 5-7'!$D:$D,'Little Explorers 5-7'!$C:$C,$C81,'Little Explorers 5-7'!$E:$E,"Per class"),_xlfn.MAXIFS('Junior Makers 8-11'!$D:$D,'Junior Makers 8-11'!$C:$C,$C81,'Junior Makers 8-11'!$E:$E,"Per class"),_xlfn.MAXIFS('Young Innovators 12-14'!$D:$D,'Young Innovators 12-14'!$C:$C,$C81,'Young Innovators 12-14'!$E:$E,"Per class"),_xlfn.MAXIFS('Tech Leaders 15-17'!$D:$D,'Tech Leaders 15-17'!$C:$C,$C81,'Tech Leaders 15-17'!$E:$E,"Per class"))</f>
        <v>0</v>
      </c>
      <c r="M81" s="14" t="s">
        <v>802</v>
      </c>
      <c r="N81" s="14"/>
    </row>
    <row r="82" customFormat="false" ht="15" hidden="false" customHeight="false" outlineLevel="0" collapsed="false">
      <c r="A82" s="14" t="n">
        <v>67</v>
      </c>
      <c r="B82" s="14" t="s">
        <v>404</v>
      </c>
      <c r="C82" s="17" t="s">
        <v>567</v>
      </c>
      <c r="D82" s="14" t="s">
        <v>803</v>
      </c>
      <c r="E82" s="15" t="s">
        <v>394</v>
      </c>
      <c r="F82" s="56" t="n">
        <f aca="false">COUNTIF('Little Explorers 5-7'!$C:$C,$C82)+COUNTIF('Junior Makers 8-11'!$C:$C,$C82)+COUNTIF('Young Innovators 12-14'!$C:$C,$C82)+COUNTIF('Tech Leaders 15-17'!$C:$C,$C82)</f>
        <v>1</v>
      </c>
      <c r="G82" s="57" t="n">
        <f aca="false">COUNTIF('Little Explorers 5-7'!$C:$C,$C82)</f>
        <v>0</v>
      </c>
      <c r="H82" s="57" t="n">
        <f aca="false">COUNTIF('Junior Makers 8-11'!$C:$C,$C82)</f>
        <v>0</v>
      </c>
      <c r="I82" s="57" t="n">
        <f aca="false">COUNTIF('Young Innovators 12-14'!$C:$C,$C82)</f>
        <v>1</v>
      </c>
      <c r="J82" s="57" t="n">
        <f aca="false">COUNTIF('Tech Leaders 15-17'!$C:$C,$C82)</f>
        <v>0</v>
      </c>
      <c r="K82" s="58" t="n">
        <f aca="false">MAX(_xlfn.MAXIFS('Little Explorers 5-7'!$D:$D,'Little Explorers 5-7'!$C:$C,$C82,'Little Explorers 5-7'!$E:$E,"Per group"),_xlfn.MAXIFS('Junior Makers 8-11'!$D:$D,'Junior Makers 8-11'!$C:$C,$C82,'Junior Makers 8-11'!$E:$E,"Per group"),_xlfn.MAXIFS('Young Innovators 12-14'!$D:$D,'Young Innovators 12-14'!$C:$C,$C82,'Young Innovators 12-14'!$E:$E,"Per group"),_xlfn.MAXIFS('Tech Leaders 15-17'!$D:$D,'Tech Leaders 15-17'!$C:$C,$C82,'Tech Leaders 15-17'!$E:$E,"Per group"))</f>
        <v>0</v>
      </c>
      <c r="L82" s="59" t="n">
        <f aca="false">MAX(_xlfn.MAXIFS('Little Explorers 5-7'!$D:$D,'Little Explorers 5-7'!$C:$C,$C82,'Little Explorers 5-7'!$E:$E,"Per class"),_xlfn.MAXIFS('Junior Makers 8-11'!$D:$D,'Junior Makers 8-11'!$C:$C,$C82,'Junior Makers 8-11'!$E:$E,"Per class"),_xlfn.MAXIFS('Young Innovators 12-14'!$D:$D,'Young Innovators 12-14'!$C:$C,$C82,'Young Innovators 12-14'!$E:$E,"Per class"),_xlfn.MAXIFS('Tech Leaders 15-17'!$D:$D,'Tech Leaders 15-17'!$C:$C,$C82,'Tech Leaders 15-17'!$E:$E,"Per class"))</f>
        <v>1</v>
      </c>
      <c r="M82" s="14" t="s">
        <v>251</v>
      </c>
      <c r="N82" s="14" t="s">
        <v>804</v>
      </c>
    </row>
    <row r="83" customFormat="false" ht="15" hidden="false" customHeight="false" outlineLevel="0" collapsed="false">
      <c r="A83" s="14" t="n">
        <v>68</v>
      </c>
      <c r="B83" s="14" t="s">
        <v>404</v>
      </c>
      <c r="C83" s="17" t="s">
        <v>519</v>
      </c>
      <c r="D83" s="14" t="s">
        <v>805</v>
      </c>
      <c r="E83" s="15" t="s">
        <v>394</v>
      </c>
      <c r="F83" s="56" t="n">
        <f aca="false">COUNTIF('Little Explorers 5-7'!$C:$C,$C83)+COUNTIF('Junior Makers 8-11'!$C:$C,$C83)+COUNTIF('Young Innovators 12-14'!$C:$C,$C83)+COUNTIF('Tech Leaders 15-17'!$C:$C,$C83)</f>
        <v>3</v>
      </c>
      <c r="G83" s="57" t="n">
        <f aca="false">COUNTIF('Little Explorers 5-7'!$C:$C,$C83)</f>
        <v>0</v>
      </c>
      <c r="H83" s="57" t="n">
        <f aca="false">COUNTIF('Junior Makers 8-11'!$C:$C,$C83)</f>
        <v>1</v>
      </c>
      <c r="I83" s="57" t="n">
        <f aca="false">COUNTIF('Young Innovators 12-14'!$C:$C,$C83)</f>
        <v>1</v>
      </c>
      <c r="J83" s="57" t="n">
        <f aca="false">COUNTIF('Tech Leaders 15-17'!$C:$C,$C83)</f>
        <v>1</v>
      </c>
      <c r="K83" s="58" t="n">
        <f aca="false">MAX(_xlfn.MAXIFS('Little Explorers 5-7'!$D:$D,'Little Explorers 5-7'!$C:$C,$C83,'Little Explorers 5-7'!$E:$E,"Per group"),_xlfn.MAXIFS('Junior Makers 8-11'!$D:$D,'Junior Makers 8-11'!$C:$C,$C83,'Junior Makers 8-11'!$E:$E,"Per group"),_xlfn.MAXIFS('Young Innovators 12-14'!$D:$D,'Young Innovators 12-14'!$C:$C,$C83,'Young Innovators 12-14'!$E:$E,"Per group"),_xlfn.MAXIFS('Tech Leaders 15-17'!$D:$D,'Tech Leaders 15-17'!$C:$C,$C83,'Tech Leaders 15-17'!$E:$E,"Per group"))</f>
        <v>1</v>
      </c>
      <c r="L83" s="59" t="n">
        <f aca="false">MAX(_xlfn.MAXIFS('Little Explorers 5-7'!$D:$D,'Little Explorers 5-7'!$C:$C,$C83,'Little Explorers 5-7'!$E:$E,"Per class"),_xlfn.MAXIFS('Junior Makers 8-11'!$D:$D,'Junior Makers 8-11'!$C:$C,$C83,'Junior Makers 8-11'!$E:$E,"Per class"),_xlfn.MAXIFS('Young Innovators 12-14'!$D:$D,'Young Innovators 12-14'!$C:$C,$C83,'Young Innovators 12-14'!$E:$E,"Per class"),_xlfn.MAXIFS('Tech Leaders 15-17'!$D:$D,'Tech Leaders 15-17'!$C:$C,$C83,'Tech Leaders 15-17'!$E:$E,"Per class"))</f>
        <v>0</v>
      </c>
      <c r="M83" s="14" t="s">
        <v>806</v>
      </c>
      <c r="N83" s="14"/>
    </row>
    <row r="84" customFormat="false" ht="15" hidden="false" customHeight="false" outlineLevel="0" collapsed="false">
      <c r="A84" s="4"/>
      <c r="B84" s="55" t="s">
        <v>807</v>
      </c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</row>
    <row r="85" customFormat="false" ht="15" hidden="false" customHeight="false" outlineLevel="0" collapsed="false">
      <c r="A85" s="14" t="n">
        <v>69</v>
      </c>
      <c r="B85" s="14" t="s">
        <v>386</v>
      </c>
      <c r="C85" s="17" t="s">
        <v>387</v>
      </c>
      <c r="D85" s="14" t="s">
        <v>808</v>
      </c>
      <c r="E85" s="60" t="s">
        <v>380</v>
      </c>
      <c r="F85" s="56" t="n">
        <f aca="false">COUNTIF('Little Explorers 5-7'!$C:$C,$C85)+COUNTIF('Junior Makers 8-11'!$C:$C,$C85)+COUNTIF('Young Innovators 12-14'!$C:$C,$C85)+COUNTIF('Tech Leaders 15-17'!$C:$C,$C85)</f>
        <v>2</v>
      </c>
      <c r="G85" s="57" t="n">
        <f aca="false">COUNTIF('Little Explorers 5-7'!$C:$C,$C85)</f>
        <v>2</v>
      </c>
      <c r="H85" s="57" t="n">
        <f aca="false">COUNTIF('Junior Makers 8-11'!$C:$C,$C85)</f>
        <v>0</v>
      </c>
      <c r="I85" s="57" t="n">
        <f aca="false">COUNTIF('Young Innovators 12-14'!$C:$C,$C85)</f>
        <v>0</v>
      </c>
      <c r="J85" s="57" t="n">
        <f aca="false">COUNTIF('Tech Leaders 15-17'!$C:$C,$C85)</f>
        <v>0</v>
      </c>
      <c r="K85" s="58" t="n">
        <f aca="false">MAX(_xlfn.MAXIFS('Little Explorers 5-7'!$D:$D,'Little Explorers 5-7'!$C:$C,$C85,'Little Explorers 5-7'!$E:$E,"Per group"),_xlfn.MAXIFS('Junior Makers 8-11'!$D:$D,'Junior Makers 8-11'!$C:$C,$C85,'Junior Makers 8-11'!$E:$E,"Per group"),_xlfn.MAXIFS('Young Innovators 12-14'!$D:$D,'Young Innovators 12-14'!$C:$C,$C85,'Young Innovators 12-14'!$E:$E,"Per group"),_xlfn.MAXIFS('Tech Leaders 15-17'!$D:$D,'Tech Leaders 15-17'!$C:$C,$C85,'Tech Leaders 15-17'!$E:$E,"Per group"))</f>
        <v>2</v>
      </c>
      <c r="L85" s="59" t="n">
        <f aca="false">MAX(_xlfn.MAXIFS('Little Explorers 5-7'!$D:$D,'Little Explorers 5-7'!$C:$C,$C85,'Little Explorers 5-7'!$E:$E,"Per class"),_xlfn.MAXIFS('Junior Makers 8-11'!$D:$D,'Junior Makers 8-11'!$C:$C,$C85,'Junior Makers 8-11'!$E:$E,"Per class"),_xlfn.MAXIFS('Young Innovators 12-14'!$D:$D,'Young Innovators 12-14'!$C:$C,$C85,'Young Innovators 12-14'!$E:$E,"Per class"),_xlfn.MAXIFS('Tech Leaders 15-17'!$D:$D,'Tech Leaders 15-17'!$C:$C,$C85,'Tech Leaders 15-17'!$E:$E,"Per class"))</f>
        <v>0</v>
      </c>
      <c r="M85" s="14" t="s">
        <v>809</v>
      </c>
      <c r="N85" s="14"/>
    </row>
    <row r="86" customFormat="false" ht="23.85" hidden="false" customHeight="false" outlineLevel="0" collapsed="false">
      <c r="A86" s="14" t="n">
        <v>70</v>
      </c>
      <c r="B86" s="14" t="s">
        <v>386</v>
      </c>
      <c r="C86" s="17" t="s">
        <v>437</v>
      </c>
      <c r="D86" s="14" t="s">
        <v>810</v>
      </c>
      <c r="E86" s="60" t="s">
        <v>380</v>
      </c>
      <c r="F86" s="56" t="n">
        <f aca="false">COUNTIF('Little Explorers 5-7'!$C:$C,$C86)+COUNTIF('Junior Makers 8-11'!$C:$C,$C86)+COUNTIF('Young Innovators 12-14'!$C:$C,$C86)+COUNTIF('Tech Leaders 15-17'!$C:$C,$C86)</f>
        <v>8</v>
      </c>
      <c r="G86" s="57" t="n">
        <f aca="false">COUNTIF('Little Explorers 5-7'!$C:$C,$C86)</f>
        <v>1</v>
      </c>
      <c r="H86" s="57" t="n">
        <f aca="false">COUNTIF('Junior Makers 8-11'!$C:$C,$C86)</f>
        <v>3</v>
      </c>
      <c r="I86" s="57" t="n">
        <f aca="false">COUNTIF('Young Innovators 12-14'!$C:$C,$C86)</f>
        <v>1</v>
      </c>
      <c r="J86" s="57" t="n">
        <f aca="false">COUNTIF('Tech Leaders 15-17'!$C:$C,$C86)</f>
        <v>3</v>
      </c>
      <c r="K86" s="58" t="n">
        <f aca="false">MAX(_xlfn.MAXIFS('Little Explorers 5-7'!$D:$D,'Little Explorers 5-7'!$C:$C,$C86,'Little Explorers 5-7'!$E:$E,"Per group"),_xlfn.MAXIFS('Junior Makers 8-11'!$D:$D,'Junior Makers 8-11'!$C:$C,$C86,'Junior Makers 8-11'!$E:$E,"Per group"),_xlfn.MAXIFS('Young Innovators 12-14'!$D:$D,'Young Innovators 12-14'!$C:$C,$C86,'Young Innovators 12-14'!$E:$E,"Per group"),_xlfn.MAXIFS('Tech Leaders 15-17'!$D:$D,'Tech Leaders 15-17'!$C:$C,$C86,'Tech Leaders 15-17'!$E:$E,"Per group"))</f>
        <v>2</v>
      </c>
      <c r="L86" s="59" t="n">
        <f aca="false">MAX(_xlfn.MAXIFS('Little Explorers 5-7'!$D:$D,'Little Explorers 5-7'!$C:$C,$C86,'Little Explorers 5-7'!$E:$E,"Per class"),_xlfn.MAXIFS('Junior Makers 8-11'!$D:$D,'Junior Makers 8-11'!$C:$C,$C86,'Junior Makers 8-11'!$E:$E,"Per class"),_xlfn.MAXIFS('Young Innovators 12-14'!$D:$D,'Young Innovators 12-14'!$C:$C,$C86,'Young Innovators 12-14'!$E:$E,"Per class"),_xlfn.MAXIFS('Tech Leaders 15-17'!$D:$D,'Tech Leaders 15-17'!$C:$C,$C86,'Tech Leaders 15-17'!$E:$E,"Per class"))</f>
        <v>4</v>
      </c>
      <c r="M86" s="14" t="s">
        <v>811</v>
      </c>
      <c r="N86" s="14"/>
    </row>
    <row r="87" customFormat="false" ht="15" hidden="false" customHeight="false" outlineLevel="0" collapsed="false">
      <c r="A87" s="14" t="n">
        <v>71</v>
      </c>
      <c r="B87" s="14" t="s">
        <v>386</v>
      </c>
      <c r="C87" s="17" t="s">
        <v>388</v>
      </c>
      <c r="D87" s="14" t="s">
        <v>812</v>
      </c>
      <c r="E87" s="60" t="s">
        <v>380</v>
      </c>
      <c r="F87" s="56" t="n">
        <f aca="false">COUNTIF('Little Explorers 5-7'!$C:$C,$C87)+COUNTIF('Junior Makers 8-11'!$C:$C,$C87)+COUNTIF('Young Innovators 12-14'!$C:$C,$C87)+COUNTIF('Tech Leaders 15-17'!$C:$C,$C87)</f>
        <v>4</v>
      </c>
      <c r="G87" s="57" t="n">
        <f aca="false">COUNTIF('Little Explorers 5-7'!$C:$C,$C87)</f>
        <v>3</v>
      </c>
      <c r="H87" s="57" t="n">
        <f aca="false">COUNTIF('Junior Makers 8-11'!$C:$C,$C87)</f>
        <v>0</v>
      </c>
      <c r="I87" s="57" t="n">
        <f aca="false">COUNTIF('Young Innovators 12-14'!$C:$C,$C87)</f>
        <v>1</v>
      </c>
      <c r="J87" s="57" t="n">
        <f aca="false">COUNTIF('Tech Leaders 15-17'!$C:$C,$C87)</f>
        <v>0</v>
      </c>
      <c r="K87" s="58" t="n">
        <f aca="false">MAX(_xlfn.MAXIFS('Little Explorers 5-7'!$D:$D,'Little Explorers 5-7'!$C:$C,$C87,'Little Explorers 5-7'!$E:$E,"Per group"),_xlfn.MAXIFS('Junior Makers 8-11'!$D:$D,'Junior Makers 8-11'!$C:$C,$C87,'Junior Makers 8-11'!$E:$E,"Per group"),_xlfn.MAXIFS('Young Innovators 12-14'!$D:$D,'Young Innovators 12-14'!$C:$C,$C87,'Young Innovators 12-14'!$E:$E,"Per group"),_xlfn.MAXIFS('Tech Leaders 15-17'!$D:$D,'Tech Leaders 15-17'!$C:$C,$C87,'Tech Leaders 15-17'!$E:$E,"Per group"))</f>
        <v>1</v>
      </c>
      <c r="L87" s="59" t="n">
        <f aca="false">MAX(_xlfn.MAXIFS('Little Explorers 5-7'!$D:$D,'Little Explorers 5-7'!$C:$C,$C87,'Little Explorers 5-7'!$E:$E,"Per class"),_xlfn.MAXIFS('Junior Makers 8-11'!$D:$D,'Junior Makers 8-11'!$C:$C,$C87,'Junior Makers 8-11'!$E:$E,"Per class"),_xlfn.MAXIFS('Young Innovators 12-14'!$D:$D,'Young Innovators 12-14'!$C:$C,$C87,'Young Innovators 12-14'!$E:$E,"Per class"),_xlfn.MAXIFS('Tech Leaders 15-17'!$D:$D,'Tech Leaders 15-17'!$C:$C,$C87,'Tech Leaders 15-17'!$E:$E,"Per class"))</f>
        <v>0</v>
      </c>
      <c r="M87" s="14" t="s">
        <v>813</v>
      </c>
      <c r="N87" s="14"/>
    </row>
    <row r="88" customFormat="false" ht="15" hidden="false" customHeight="false" outlineLevel="0" collapsed="false">
      <c r="A88" s="14" t="n">
        <v>72</v>
      </c>
      <c r="B88" s="14" t="s">
        <v>386</v>
      </c>
      <c r="C88" s="17" t="s">
        <v>389</v>
      </c>
      <c r="D88" s="14" t="s">
        <v>814</v>
      </c>
      <c r="E88" s="60" t="s">
        <v>380</v>
      </c>
      <c r="F88" s="56" t="n">
        <f aca="false">COUNTIF('Little Explorers 5-7'!$C:$C,$C88)+COUNTIF('Junior Makers 8-11'!$C:$C,$C88)+COUNTIF('Young Innovators 12-14'!$C:$C,$C88)+COUNTIF('Tech Leaders 15-17'!$C:$C,$C88)</f>
        <v>3</v>
      </c>
      <c r="G88" s="57" t="n">
        <f aca="false">COUNTIF('Little Explorers 5-7'!$C:$C,$C88)</f>
        <v>2</v>
      </c>
      <c r="H88" s="57" t="n">
        <f aca="false">COUNTIF('Junior Makers 8-11'!$C:$C,$C88)</f>
        <v>0</v>
      </c>
      <c r="I88" s="57" t="n">
        <f aca="false">COUNTIF('Young Innovators 12-14'!$C:$C,$C88)</f>
        <v>1</v>
      </c>
      <c r="J88" s="57" t="n">
        <f aca="false">COUNTIF('Tech Leaders 15-17'!$C:$C,$C88)</f>
        <v>0</v>
      </c>
      <c r="K88" s="58" t="n">
        <f aca="false">MAX(_xlfn.MAXIFS('Little Explorers 5-7'!$D:$D,'Little Explorers 5-7'!$C:$C,$C88,'Little Explorers 5-7'!$E:$E,"Per group"),_xlfn.MAXIFS('Junior Makers 8-11'!$D:$D,'Junior Makers 8-11'!$C:$C,$C88,'Junior Makers 8-11'!$E:$E,"Per group"),_xlfn.MAXIFS('Young Innovators 12-14'!$D:$D,'Young Innovators 12-14'!$C:$C,$C88,'Young Innovators 12-14'!$E:$E,"Per group"),_xlfn.MAXIFS('Tech Leaders 15-17'!$D:$D,'Tech Leaders 15-17'!$C:$C,$C88,'Tech Leaders 15-17'!$E:$E,"Per group"))</f>
        <v>0</v>
      </c>
      <c r="L88" s="59" t="n">
        <f aca="false">MAX(_xlfn.MAXIFS('Little Explorers 5-7'!$D:$D,'Little Explorers 5-7'!$C:$C,$C88,'Little Explorers 5-7'!$E:$E,"Per class"),_xlfn.MAXIFS('Junior Makers 8-11'!$D:$D,'Junior Makers 8-11'!$C:$C,$C88,'Junior Makers 8-11'!$E:$E,"Per class"),_xlfn.MAXIFS('Young Innovators 12-14'!$D:$D,'Young Innovators 12-14'!$C:$C,$C88,'Young Innovators 12-14'!$E:$E,"Per class"),_xlfn.MAXIFS('Tech Leaders 15-17'!$D:$D,'Tech Leaders 15-17'!$C:$C,$C88,'Tech Leaders 15-17'!$E:$E,"Per class"))</f>
        <v>1</v>
      </c>
      <c r="M88" s="14" t="s">
        <v>815</v>
      </c>
      <c r="N88" s="14"/>
    </row>
    <row r="89" customFormat="false" ht="15" hidden="false" customHeight="false" outlineLevel="0" collapsed="false">
      <c r="A89" s="14" t="n">
        <v>73</v>
      </c>
      <c r="B89" s="14" t="s">
        <v>386</v>
      </c>
      <c r="C89" s="17" t="s">
        <v>443</v>
      </c>
      <c r="D89" s="14" t="s">
        <v>816</v>
      </c>
      <c r="E89" s="60" t="s">
        <v>380</v>
      </c>
      <c r="F89" s="56" t="n">
        <f aca="false">COUNTIF('Little Explorers 5-7'!$C:$C,$C89)+COUNTIF('Junior Makers 8-11'!$C:$C,$C89)+COUNTIF('Young Innovators 12-14'!$C:$C,$C89)+COUNTIF('Tech Leaders 15-17'!$C:$C,$C89)</f>
        <v>2</v>
      </c>
      <c r="G89" s="57" t="n">
        <f aca="false">COUNTIF('Little Explorers 5-7'!$C:$C,$C89)</f>
        <v>1</v>
      </c>
      <c r="H89" s="57" t="n">
        <f aca="false">COUNTIF('Junior Makers 8-11'!$C:$C,$C89)</f>
        <v>0</v>
      </c>
      <c r="I89" s="57" t="n">
        <f aca="false">COUNTIF('Young Innovators 12-14'!$C:$C,$C89)</f>
        <v>1</v>
      </c>
      <c r="J89" s="57" t="n">
        <f aca="false">COUNTIF('Tech Leaders 15-17'!$C:$C,$C89)</f>
        <v>0</v>
      </c>
      <c r="K89" s="58" t="n">
        <f aca="false">MAX(_xlfn.MAXIFS('Little Explorers 5-7'!$D:$D,'Little Explorers 5-7'!$C:$C,$C89,'Little Explorers 5-7'!$E:$E,"Per group"),_xlfn.MAXIFS('Junior Makers 8-11'!$D:$D,'Junior Makers 8-11'!$C:$C,$C89,'Junior Makers 8-11'!$E:$E,"Per group"),_xlfn.MAXIFS('Young Innovators 12-14'!$D:$D,'Young Innovators 12-14'!$C:$C,$C89,'Young Innovators 12-14'!$E:$E,"Per group"),_xlfn.MAXIFS('Tech Leaders 15-17'!$D:$D,'Tech Leaders 15-17'!$C:$C,$C89,'Tech Leaders 15-17'!$E:$E,"Per group"))</f>
        <v>10</v>
      </c>
      <c r="L89" s="59" t="n">
        <f aca="false">MAX(_xlfn.MAXIFS('Little Explorers 5-7'!$D:$D,'Little Explorers 5-7'!$C:$C,$C89,'Little Explorers 5-7'!$E:$E,"Per class"),_xlfn.MAXIFS('Junior Makers 8-11'!$D:$D,'Junior Makers 8-11'!$C:$C,$C89,'Junior Makers 8-11'!$E:$E,"Per class"),_xlfn.MAXIFS('Young Innovators 12-14'!$D:$D,'Young Innovators 12-14'!$C:$C,$C89,'Young Innovators 12-14'!$E:$E,"Per class"),_xlfn.MAXIFS('Tech Leaders 15-17'!$D:$D,'Tech Leaders 15-17'!$C:$C,$C89,'Tech Leaders 15-17'!$E:$E,"Per class"))</f>
        <v>0</v>
      </c>
      <c r="M89" s="14" t="s">
        <v>817</v>
      </c>
      <c r="N89" s="14"/>
    </row>
    <row r="90" customFormat="false" ht="15" hidden="false" customHeight="false" outlineLevel="0" collapsed="false">
      <c r="A90" s="14" t="n">
        <v>74</v>
      </c>
      <c r="B90" s="14" t="s">
        <v>386</v>
      </c>
      <c r="C90" s="17" t="s">
        <v>438</v>
      </c>
      <c r="D90" s="14" t="s">
        <v>438</v>
      </c>
      <c r="E90" s="60" t="s">
        <v>380</v>
      </c>
      <c r="F90" s="56" t="n">
        <f aca="false">COUNTIF('Little Explorers 5-7'!$C:$C,$C90)+COUNTIF('Junior Makers 8-11'!$C:$C,$C90)+COUNTIF('Young Innovators 12-14'!$C:$C,$C90)+COUNTIF('Tech Leaders 15-17'!$C:$C,$C90)</f>
        <v>2</v>
      </c>
      <c r="G90" s="57" t="n">
        <f aca="false">COUNTIF('Little Explorers 5-7'!$C:$C,$C90)</f>
        <v>2</v>
      </c>
      <c r="H90" s="57" t="n">
        <f aca="false">COUNTIF('Junior Makers 8-11'!$C:$C,$C90)</f>
        <v>0</v>
      </c>
      <c r="I90" s="57" t="n">
        <f aca="false">COUNTIF('Young Innovators 12-14'!$C:$C,$C90)</f>
        <v>0</v>
      </c>
      <c r="J90" s="57" t="n">
        <f aca="false">COUNTIF('Tech Leaders 15-17'!$C:$C,$C90)</f>
        <v>0</v>
      </c>
      <c r="K90" s="58" t="n">
        <f aca="false">MAX(_xlfn.MAXIFS('Little Explorers 5-7'!$D:$D,'Little Explorers 5-7'!$C:$C,$C90,'Little Explorers 5-7'!$E:$E,"Per group"),_xlfn.MAXIFS('Junior Makers 8-11'!$D:$D,'Junior Makers 8-11'!$C:$C,$C90,'Junior Makers 8-11'!$E:$E,"Per group"),_xlfn.MAXIFS('Young Innovators 12-14'!$D:$D,'Young Innovators 12-14'!$C:$C,$C90,'Young Innovators 12-14'!$E:$E,"Per group"),_xlfn.MAXIFS('Tech Leaders 15-17'!$D:$D,'Tech Leaders 15-17'!$C:$C,$C90,'Tech Leaders 15-17'!$E:$E,"Per group"))</f>
        <v>2</v>
      </c>
      <c r="L90" s="59" t="n">
        <f aca="false">MAX(_xlfn.MAXIFS('Little Explorers 5-7'!$D:$D,'Little Explorers 5-7'!$C:$C,$C90,'Little Explorers 5-7'!$E:$E,"Per class"),_xlfn.MAXIFS('Junior Makers 8-11'!$D:$D,'Junior Makers 8-11'!$C:$C,$C90,'Junior Makers 8-11'!$E:$E,"Per class"),_xlfn.MAXIFS('Young Innovators 12-14'!$D:$D,'Young Innovators 12-14'!$C:$C,$C90,'Young Innovators 12-14'!$E:$E,"Per class"),_xlfn.MAXIFS('Tech Leaders 15-17'!$D:$D,'Tech Leaders 15-17'!$C:$C,$C90,'Tech Leaders 15-17'!$E:$E,"Per class"))</f>
        <v>0</v>
      </c>
      <c r="M90" s="14" t="s">
        <v>818</v>
      </c>
      <c r="N90" s="14"/>
    </row>
    <row r="91" customFormat="false" ht="15" hidden="false" customHeight="false" outlineLevel="0" collapsed="false">
      <c r="A91" s="14" t="n">
        <v>75</v>
      </c>
      <c r="B91" s="14" t="s">
        <v>386</v>
      </c>
      <c r="C91" s="17" t="s">
        <v>465</v>
      </c>
      <c r="D91" s="14" t="s">
        <v>819</v>
      </c>
      <c r="E91" s="60" t="s">
        <v>380</v>
      </c>
      <c r="F91" s="56" t="n">
        <f aca="false">COUNTIF('Little Explorers 5-7'!$C:$C,$C91)+COUNTIF('Junior Makers 8-11'!$C:$C,$C91)+COUNTIF('Young Innovators 12-14'!$C:$C,$C91)+COUNTIF('Tech Leaders 15-17'!$C:$C,$C91)</f>
        <v>1</v>
      </c>
      <c r="G91" s="57" t="n">
        <f aca="false">COUNTIF('Little Explorers 5-7'!$C:$C,$C91)</f>
        <v>1</v>
      </c>
      <c r="H91" s="57" t="n">
        <f aca="false">COUNTIF('Junior Makers 8-11'!$C:$C,$C91)</f>
        <v>0</v>
      </c>
      <c r="I91" s="57" t="n">
        <f aca="false">COUNTIF('Young Innovators 12-14'!$C:$C,$C91)</f>
        <v>0</v>
      </c>
      <c r="J91" s="57" t="n">
        <f aca="false">COUNTIF('Tech Leaders 15-17'!$C:$C,$C91)</f>
        <v>0</v>
      </c>
      <c r="K91" s="58" t="n">
        <f aca="false">MAX(_xlfn.MAXIFS('Little Explorers 5-7'!$D:$D,'Little Explorers 5-7'!$C:$C,$C91,'Little Explorers 5-7'!$E:$E,"Per group"),_xlfn.MAXIFS('Junior Makers 8-11'!$D:$D,'Junior Makers 8-11'!$C:$C,$C91,'Junior Makers 8-11'!$E:$E,"Per group"),_xlfn.MAXIFS('Young Innovators 12-14'!$D:$D,'Young Innovators 12-14'!$C:$C,$C91,'Young Innovators 12-14'!$E:$E,"Per group"),_xlfn.MAXIFS('Tech Leaders 15-17'!$D:$D,'Tech Leaders 15-17'!$C:$C,$C91,'Tech Leaders 15-17'!$E:$E,"Per group"))</f>
        <v>1</v>
      </c>
      <c r="L91" s="59" t="n">
        <f aca="false">MAX(_xlfn.MAXIFS('Little Explorers 5-7'!$D:$D,'Little Explorers 5-7'!$C:$C,$C91,'Little Explorers 5-7'!$E:$E,"Per class"),_xlfn.MAXIFS('Junior Makers 8-11'!$D:$D,'Junior Makers 8-11'!$C:$C,$C91,'Junior Makers 8-11'!$E:$E,"Per class"),_xlfn.MAXIFS('Young Innovators 12-14'!$D:$D,'Young Innovators 12-14'!$C:$C,$C91,'Young Innovators 12-14'!$E:$E,"Per class"),_xlfn.MAXIFS('Tech Leaders 15-17'!$D:$D,'Tech Leaders 15-17'!$C:$C,$C91,'Tech Leaders 15-17'!$E:$E,"Per class"))</f>
        <v>0</v>
      </c>
      <c r="M91" s="14" t="s">
        <v>134</v>
      </c>
      <c r="N91" s="14"/>
    </row>
    <row r="92" customFormat="false" ht="15" hidden="false" customHeight="false" outlineLevel="0" collapsed="false">
      <c r="A92" s="14" t="n">
        <v>76</v>
      </c>
      <c r="B92" s="14" t="s">
        <v>386</v>
      </c>
      <c r="C92" s="17" t="s">
        <v>451</v>
      </c>
      <c r="D92" s="14" t="s">
        <v>820</v>
      </c>
      <c r="E92" s="60" t="s">
        <v>380</v>
      </c>
      <c r="F92" s="56" t="n">
        <f aca="false">COUNTIF('Little Explorers 5-7'!$C:$C,$C92)+COUNTIF('Junior Makers 8-11'!$C:$C,$C92)+COUNTIF('Young Innovators 12-14'!$C:$C,$C92)+COUNTIF('Tech Leaders 15-17'!$C:$C,$C92)</f>
        <v>5</v>
      </c>
      <c r="G92" s="57" t="n">
        <f aca="false">COUNTIF('Little Explorers 5-7'!$C:$C,$C92)</f>
        <v>3</v>
      </c>
      <c r="H92" s="57" t="n">
        <f aca="false">COUNTIF('Junior Makers 8-11'!$C:$C,$C92)</f>
        <v>1</v>
      </c>
      <c r="I92" s="57" t="n">
        <f aca="false">COUNTIF('Young Innovators 12-14'!$C:$C,$C92)</f>
        <v>1</v>
      </c>
      <c r="J92" s="57" t="n">
        <f aca="false">COUNTIF('Tech Leaders 15-17'!$C:$C,$C92)</f>
        <v>0</v>
      </c>
      <c r="K92" s="58" t="n">
        <f aca="false">MAX(_xlfn.MAXIFS('Little Explorers 5-7'!$D:$D,'Little Explorers 5-7'!$C:$C,$C92,'Little Explorers 5-7'!$E:$E,"Per group"),_xlfn.MAXIFS('Junior Makers 8-11'!$D:$D,'Junior Makers 8-11'!$C:$C,$C92,'Junior Makers 8-11'!$E:$E,"Per group"),_xlfn.MAXIFS('Young Innovators 12-14'!$D:$D,'Young Innovators 12-14'!$C:$C,$C92,'Young Innovators 12-14'!$E:$E,"Per group"),_xlfn.MAXIFS('Tech Leaders 15-17'!$D:$D,'Tech Leaders 15-17'!$C:$C,$C92,'Tech Leaders 15-17'!$E:$E,"Per group"))</f>
        <v>20</v>
      </c>
      <c r="L92" s="59" t="n">
        <f aca="false">MAX(_xlfn.MAXIFS('Little Explorers 5-7'!$D:$D,'Little Explorers 5-7'!$C:$C,$C92,'Little Explorers 5-7'!$E:$E,"Per class"),_xlfn.MAXIFS('Junior Makers 8-11'!$D:$D,'Junior Makers 8-11'!$C:$C,$C92,'Junior Makers 8-11'!$E:$E,"Per class"),_xlfn.MAXIFS('Young Innovators 12-14'!$D:$D,'Young Innovators 12-14'!$C:$C,$C92,'Young Innovators 12-14'!$E:$E,"Per class"),_xlfn.MAXIFS('Tech Leaders 15-17'!$D:$D,'Tech Leaders 15-17'!$C:$C,$C92,'Tech Leaders 15-17'!$E:$E,"Per class"))</f>
        <v>0</v>
      </c>
      <c r="M92" s="14" t="s">
        <v>821</v>
      </c>
      <c r="N92" s="14"/>
    </row>
    <row r="93" customFormat="false" ht="15" hidden="false" customHeight="false" outlineLevel="0" collapsed="false">
      <c r="A93" s="14" t="n">
        <v>77</v>
      </c>
      <c r="B93" s="14" t="s">
        <v>386</v>
      </c>
      <c r="C93" s="17" t="s">
        <v>429</v>
      </c>
      <c r="D93" s="14" t="s">
        <v>822</v>
      </c>
      <c r="E93" s="60" t="s">
        <v>380</v>
      </c>
      <c r="F93" s="56" t="n">
        <f aca="false">COUNTIF('Little Explorers 5-7'!$C:$C,$C93)+COUNTIF('Junior Makers 8-11'!$C:$C,$C93)+COUNTIF('Young Innovators 12-14'!$C:$C,$C93)+COUNTIF('Tech Leaders 15-17'!$C:$C,$C93)</f>
        <v>2</v>
      </c>
      <c r="G93" s="57" t="n">
        <f aca="false">COUNTIF('Little Explorers 5-7'!$C:$C,$C93)</f>
        <v>1</v>
      </c>
      <c r="H93" s="57" t="n">
        <f aca="false">COUNTIF('Junior Makers 8-11'!$C:$C,$C93)</f>
        <v>0</v>
      </c>
      <c r="I93" s="57" t="n">
        <f aca="false">COUNTIF('Young Innovators 12-14'!$C:$C,$C93)</f>
        <v>1</v>
      </c>
      <c r="J93" s="57" t="n">
        <f aca="false">COUNTIF('Tech Leaders 15-17'!$C:$C,$C93)</f>
        <v>0</v>
      </c>
      <c r="K93" s="58" t="n">
        <f aca="false">MAX(_xlfn.MAXIFS('Little Explorers 5-7'!$D:$D,'Little Explorers 5-7'!$C:$C,$C93,'Little Explorers 5-7'!$E:$E,"Per group"),_xlfn.MAXIFS('Junior Makers 8-11'!$D:$D,'Junior Makers 8-11'!$C:$C,$C93,'Junior Makers 8-11'!$E:$E,"Per group"),_xlfn.MAXIFS('Young Innovators 12-14'!$D:$D,'Young Innovators 12-14'!$C:$C,$C93,'Young Innovators 12-14'!$E:$E,"Per group"),_xlfn.MAXIFS('Tech Leaders 15-17'!$D:$D,'Tech Leaders 15-17'!$C:$C,$C93,'Tech Leaders 15-17'!$E:$E,"Per group"))</f>
        <v>1</v>
      </c>
      <c r="L93" s="59" t="n">
        <f aca="false">MAX(_xlfn.MAXIFS('Little Explorers 5-7'!$D:$D,'Little Explorers 5-7'!$C:$C,$C93,'Little Explorers 5-7'!$E:$E,"Per class"),_xlfn.MAXIFS('Junior Makers 8-11'!$D:$D,'Junior Makers 8-11'!$C:$C,$C93,'Junior Makers 8-11'!$E:$E,"Per class"),_xlfn.MAXIFS('Young Innovators 12-14'!$D:$D,'Young Innovators 12-14'!$C:$C,$C93,'Young Innovators 12-14'!$E:$E,"Per class"),_xlfn.MAXIFS('Tech Leaders 15-17'!$D:$D,'Tech Leaders 15-17'!$C:$C,$C93,'Tech Leaders 15-17'!$E:$E,"Per class"))</f>
        <v>0</v>
      </c>
      <c r="M93" s="14" t="s">
        <v>695</v>
      </c>
      <c r="N93" s="14"/>
    </row>
    <row r="94" customFormat="false" ht="15" hidden="false" customHeight="false" outlineLevel="0" collapsed="false">
      <c r="A94" s="14" t="n">
        <v>78</v>
      </c>
      <c r="B94" s="14" t="s">
        <v>386</v>
      </c>
      <c r="C94" s="17" t="s">
        <v>430</v>
      </c>
      <c r="D94" s="14" t="s">
        <v>823</v>
      </c>
      <c r="E94" s="15" t="s">
        <v>394</v>
      </c>
      <c r="F94" s="56" t="n">
        <f aca="false">COUNTIF('Little Explorers 5-7'!$C:$C,$C94)+COUNTIF('Junior Makers 8-11'!$C:$C,$C94)+COUNTIF('Young Innovators 12-14'!$C:$C,$C94)+COUNTIF('Tech Leaders 15-17'!$C:$C,$C94)</f>
        <v>2</v>
      </c>
      <c r="G94" s="57" t="n">
        <f aca="false">COUNTIF('Little Explorers 5-7'!$C:$C,$C94)</f>
        <v>1</v>
      </c>
      <c r="H94" s="57" t="n">
        <f aca="false">COUNTIF('Junior Makers 8-11'!$C:$C,$C94)</f>
        <v>0</v>
      </c>
      <c r="I94" s="57" t="n">
        <f aca="false">COUNTIF('Young Innovators 12-14'!$C:$C,$C94)</f>
        <v>1</v>
      </c>
      <c r="J94" s="57" t="n">
        <f aca="false">COUNTIF('Tech Leaders 15-17'!$C:$C,$C94)</f>
        <v>0</v>
      </c>
      <c r="K94" s="58" t="n">
        <f aca="false">MAX(_xlfn.MAXIFS('Little Explorers 5-7'!$D:$D,'Little Explorers 5-7'!$C:$C,$C94,'Little Explorers 5-7'!$E:$E,"Per group"),_xlfn.MAXIFS('Junior Makers 8-11'!$D:$D,'Junior Makers 8-11'!$C:$C,$C94,'Junior Makers 8-11'!$E:$E,"Per group"),_xlfn.MAXIFS('Young Innovators 12-14'!$D:$D,'Young Innovators 12-14'!$C:$C,$C94,'Young Innovators 12-14'!$E:$E,"Per group"),_xlfn.MAXIFS('Tech Leaders 15-17'!$D:$D,'Tech Leaders 15-17'!$C:$C,$C94,'Tech Leaders 15-17'!$E:$E,"Per group"))</f>
        <v>1</v>
      </c>
      <c r="L94" s="59" t="n">
        <f aca="false">MAX(_xlfn.MAXIFS('Little Explorers 5-7'!$D:$D,'Little Explorers 5-7'!$C:$C,$C94,'Little Explorers 5-7'!$E:$E,"Per class"),_xlfn.MAXIFS('Junior Makers 8-11'!$D:$D,'Junior Makers 8-11'!$C:$C,$C94,'Junior Makers 8-11'!$E:$E,"Per class"),_xlfn.MAXIFS('Young Innovators 12-14'!$D:$D,'Young Innovators 12-14'!$C:$C,$C94,'Young Innovators 12-14'!$E:$E,"Per class"),_xlfn.MAXIFS('Tech Leaders 15-17'!$D:$D,'Tech Leaders 15-17'!$C:$C,$C94,'Tech Leaders 15-17'!$E:$E,"Per class"))</f>
        <v>1</v>
      </c>
      <c r="M94" s="14" t="s">
        <v>695</v>
      </c>
      <c r="N94" s="14"/>
    </row>
    <row r="95" customFormat="false" ht="15" hidden="false" customHeight="false" outlineLevel="0" collapsed="false">
      <c r="A95" s="4"/>
      <c r="B95" s="55" t="s">
        <v>824</v>
      </c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</row>
    <row r="96" customFormat="false" ht="15" hidden="false" customHeight="false" outlineLevel="0" collapsed="false">
      <c r="A96" s="14" t="n">
        <v>79</v>
      </c>
      <c r="B96" s="14" t="s">
        <v>410</v>
      </c>
      <c r="C96" s="17" t="s">
        <v>411</v>
      </c>
      <c r="D96" s="14" t="s">
        <v>825</v>
      </c>
      <c r="E96" s="60" t="s">
        <v>380</v>
      </c>
      <c r="F96" s="56" t="n">
        <f aca="false">COUNTIF('Little Explorers 5-7'!$C:$C,$C96)+COUNTIF('Junior Makers 8-11'!$C:$C,$C96)+COUNTIF('Young Innovators 12-14'!$C:$C,$C96)+COUNTIF('Tech Leaders 15-17'!$C:$C,$C96)</f>
        <v>1</v>
      </c>
      <c r="G96" s="57" t="n">
        <f aca="false">COUNTIF('Little Explorers 5-7'!$C:$C,$C96)</f>
        <v>1</v>
      </c>
      <c r="H96" s="57" t="n">
        <f aca="false">COUNTIF('Junior Makers 8-11'!$C:$C,$C96)</f>
        <v>0</v>
      </c>
      <c r="I96" s="57" t="n">
        <f aca="false">COUNTIF('Young Innovators 12-14'!$C:$C,$C96)</f>
        <v>0</v>
      </c>
      <c r="J96" s="57" t="n">
        <f aca="false">COUNTIF('Tech Leaders 15-17'!$C:$C,$C96)</f>
        <v>0</v>
      </c>
      <c r="K96" s="58" t="n">
        <f aca="false">MAX(_xlfn.MAXIFS('Little Explorers 5-7'!$D:$D,'Little Explorers 5-7'!$C:$C,$C96,'Little Explorers 5-7'!$E:$E,"Per group"),_xlfn.MAXIFS('Junior Makers 8-11'!$D:$D,'Junior Makers 8-11'!$C:$C,$C96,'Junior Makers 8-11'!$E:$E,"Per group"),_xlfn.MAXIFS('Young Innovators 12-14'!$D:$D,'Young Innovators 12-14'!$C:$C,$C96,'Young Innovators 12-14'!$E:$E,"Per group"),_xlfn.MAXIFS('Tech Leaders 15-17'!$D:$D,'Tech Leaders 15-17'!$C:$C,$C96,'Tech Leaders 15-17'!$E:$E,"Per group"))</f>
        <v>4</v>
      </c>
      <c r="L96" s="59" t="n">
        <f aca="false">MAX(_xlfn.MAXIFS('Little Explorers 5-7'!$D:$D,'Little Explorers 5-7'!$C:$C,$C96,'Little Explorers 5-7'!$E:$E,"Per class"),_xlfn.MAXIFS('Junior Makers 8-11'!$D:$D,'Junior Makers 8-11'!$C:$C,$C96,'Junior Makers 8-11'!$E:$E,"Per class"),_xlfn.MAXIFS('Young Innovators 12-14'!$D:$D,'Young Innovators 12-14'!$C:$C,$C96,'Young Innovators 12-14'!$E:$E,"Per class"),_xlfn.MAXIFS('Tech Leaders 15-17'!$D:$D,'Tech Leaders 15-17'!$C:$C,$C96,'Tech Leaders 15-17'!$E:$E,"Per class"))</f>
        <v>0</v>
      </c>
      <c r="M96" s="14" t="s">
        <v>60</v>
      </c>
      <c r="N96" s="14" t="s">
        <v>826</v>
      </c>
    </row>
    <row r="97" customFormat="false" ht="15" hidden="false" customHeight="false" outlineLevel="0" collapsed="false">
      <c r="A97" s="14" t="n">
        <v>80</v>
      </c>
      <c r="B97" s="14" t="s">
        <v>410</v>
      </c>
      <c r="C97" s="17" t="s">
        <v>412</v>
      </c>
      <c r="D97" s="14" t="s">
        <v>827</v>
      </c>
      <c r="E97" s="60" t="s">
        <v>380</v>
      </c>
      <c r="F97" s="56" t="n">
        <f aca="false">COUNTIF('Little Explorers 5-7'!$C:$C,$C97)+COUNTIF('Junior Makers 8-11'!$C:$C,$C97)+COUNTIF('Young Innovators 12-14'!$C:$C,$C97)+COUNTIF('Tech Leaders 15-17'!$C:$C,$C97)</f>
        <v>1</v>
      </c>
      <c r="G97" s="57" t="n">
        <f aca="false">COUNTIF('Little Explorers 5-7'!$C:$C,$C97)</f>
        <v>1</v>
      </c>
      <c r="H97" s="57" t="n">
        <f aca="false">COUNTIF('Junior Makers 8-11'!$C:$C,$C97)</f>
        <v>0</v>
      </c>
      <c r="I97" s="57" t="n">
        <f aca="false">COUNTIF('Young Innovators 12-14'!$C:$C,$C97)</f>
        <v>0</v>
      </c>
      <c r="J97" s="57" t="n">
        <f aca="false">COUNTIF('Tech Leaders 15-17'!$C:$C,$C97)</f>
        <v>0</v>
      </c>
      <c r="K97" s="58" t="n">
        <f aca="false">MAX(_xlfn.MAXIFS('Little Explorers 5-7'!$D:$D,'Little Explorers 5-7'!$C:$C,$C97,'Little Explorers 5-7'!$E:$E,"Per group"),_xlfn.MAXIFS('Junior Makers 8-11'!$D:$D,'Junior Makers 8-11'!$C:$C,$C97,'Junior Makers 8-11'!$E:$E,"Per group"),_xlfn.MAXIFS('Young Innovators 12-14'!$D:$D,'Young Innovators 12-14'!$C:$C,$C97,'Young Innovators 12-14'!$E:$E,"Per group"),_xlfn.MAXIFS('Tech Leaders 15-17'!$D:$D,'Tech Leaders 15-17'!$C:$C,$C97,'Tech Leaders 15-17'!$E:$E,"Per group"))</f>
        <v>4</v>
      </c>
      <c r="L97" s="59" t="n">
        <f aca="false">MAX(_xlfn.MAXIFS('Little Explorers 5-7'!$D:$D,'Little Explorers 5-7'!$C:$C,$C97,'Little Explorers 5-7'!$E:$E,"Per class"),_xlfn.MAXIFS('Junior Makers 8-11'!$D:$D,'Junior Makers 8-11'!$C:$C,$C97,'Junior Makers 8-11'!$E:$E,"Per class"),_xlfn.MAXIFS('Young Innovators 12-14'!$D:$D,'Young Innovators 12-14'!$C:$C,$C97,'Young Innovators 12-14'!$E:$E,"Per class"),_xlfn.MAXIFS('Tech Leaders 15-17'!$D:$D,'Tech Leaders 15-17'!$C:$C,$C97,'Tech Leaders 15-17'!$E:$E,"Per class"))</f>
        <v>0</v>
      </c>
      <c r="M97" s="14" t="s">
        <v>60</v>
      </c>
      <c r="N97" s="14"/>
    </row>
    <row r="98" customFormat="false" ht="15" hidden="false" customHeight="false" outlineLevel="0" collapsed="false">
      <c r="A98" s="14" t="n">
        <v>81</v>
      </c>
      <c r="B98" s="14" t="s">
        <v>410</v>
      </c>
      <c r="C98" s="17" t="s">
        <v>413</v>
      </c>
      <c r="D98" s="14" t="s">
        <v>828</v>
      </c>
      <c r="E98" s="15" t="s">
        <v>394</v>
      </c>
      <c r="F98" s="56" t="n">
        <f aca="false">COUNTIF('Little Explorers 5-7'!$C:$C,$C98)+COUNTIF('Junior Makers 8-11'!$C:$C,$C98)+COUNTIF('Young Innovators 12-14'!$C:$C,$C98)+COUNTIF('Tech Leaders 15-17'!$C:$C,$C98)</f>
        <v>1</v>
      </c>
      <c r="G98" s="57" t="n">
        <f aca="false">COUNTIF('Little Explorers 5-7'!$C:$C,$C98)</f>
        <v>1</v>
      </c>
      <c r="H98" s="57" t="n">
        <f aca="false">COUNTIF('Junior Makers 8-11'!$C:$C,$C98)</f>
        <v>0</v>
      </c>
      <c r="I98" s="57" t="n">
        <f aca="false">COUNTIF('Young Innovators 12-14'!$C:$C,$C98)</f>
        <v>0</v>
      </c>
      <c r="J98" s="57" t="n">
        <f aca="false">COUNTIF('Tech Leaders 15-17'!$C:$C,$C98)</f>
        <v>0</v>
      </c>
      <c r="K98" s="58" t="n">
        <f aca="false">MAX(_xlfn.MAXIFS('Little Explorers 5-7'!$D:$D,'Little Explorers 5-7'!$C:$C,$C98,'Little Explorers 5-7'!$E:$E,"Per group"),_xlfn.MAXIFS('Junior Makers 8-11'!$D:$D,'Junior Makers 8-11'!$C:$C,$C98,'Junior Makers 8-11'!$E:$E,"Per group"),_xlfn.MAXIFS('Young Innovators 12-14'!$D:$D,'Young Innovators 12-14'!$C:$C,$C98,'Young Innovators 12-14'!$E:$E,"Per group"),_xlfn.MAXIFS('Tech Leaders 15-17'!$D:$D,'Tech Leaders 15-17'!$C:$C,$C98,'Tech Leaders 15-17'!$E:$E,"Per group"))</f>
        <v>4</v>
      </c>
      <c r="L98" s="59" t="n">
        <f aca="false">MAX(_xlfn.MAXIFS('Little Explorers 5-7'!$D:$D,'Little Explorers 5-7'!$C:$C,$C98,'Little Explorers 5-7'!$E:$E,"Per class"),_xlfn.MAXIFS('Junior Makers 8-11'!$D:$D,'Junior Makers 8-11'!$C:$C,$C98,'Junior Makers 8-11'!$E:$E,"Per class"),_xlfn.MAXIFS('Young Innovators 12-14'!$D:$D,'Young Innovators 12-14'!$C:$C,$C98,'Young Innovators 12-14'!$E:$E,"Per class"),_xlfn.MAXIFS('Tech Leaders 15-17'!$D:$D,'Tech Leaders 15-17'!$C:$C,$C98,'Tech Leaders 15-17'!$E:$E,"Per class"))</f>
        <v>0</v>
      </c>
      <c r="M98" s="14" t="s">
        <v>60</v>
      </c>
      <c r="N98" s="14"/>
    </row>
    <row r="99" customFormat="false" ht="15" hidden="false" customHeight="false" outlineLevel="0" collapsed="false">
      <c r="A99" s="14" t="n">
        <v>82</v>
      </c>
      <c r="B99" s="14" t="s">
        <v>410</v>
      </c>
      <c r="C99" s="17" t="s">
        <v>457</v>
      </c>
      <c r="D99" s="14" t="s">
        <v>829</v>
      </c>
      <c r="E99" s="60" t="s">
        <v>380</v>
      </c>
      <c r="F99" s="56" t="n">
        <f aca="false">COUNTIF('Little Explorers 5-7'!$C:$C,$C99)+COUNTIF('Junior Makers 8-11'!$C:$C,$C99)+COUNTIF('Young Innovators 12-14'!$C:$C,$C99)+COUNTIF('Tech Leaders 15-17'!$C:$C,$C99)</f>
        <v>1</v>
      </c>
      <c r="G99" s="57" t="n">
        <f aca="false">COUNTIF('Little Explorers 5-7'!$C:$C,$C99)</f>
        <v>1</v>
      </c>
      <c r="H99" s="57" t="n">
        <f aca="false">COUNTIF('Junior Makers 8-11'!$C:$C,$C99)</f>
        <v>0</v>
      </c>
      <c r="I99" s="57" t="n">
        <f aca="false">COUNTIF('Young Innovators 12-14'!$C:$C,$C99)</f>
        <v>0</v>
      </c>
      <c r="J99" s="57" t="n">
        <f aca="false">COUNTIF('Tech Leaders 15-17'!$C:$C,$C99)</f>
        <v>0</v>
      </c>
      <c r="K99" s="58" t="n">
        <f aca="false">MAX(_xlfn.MAXIFS('Little Explorers 5-7'!$D:$D,'Little Explorers 5-7'!$C:$C,$C99,'Little Explorers 5-7'!$E:$E,"Per group"),_xlfn.MAXIFS('Junior Makers 8-11'!$D:$D,'Junior Makers 8-11'!$C:$C,$C99,'Junior Makers 8-11'!$E:$E,"Per group"),_xlfn.MAXIFS('Young Innovators 12-14'!$D:$D,'Young Innovators 12-14'!$C:$C,$C99,'Young Innovators 12-14'!$E:$E,"Per group"),_xlfn.MAXIFS('Tech Leaders 15-17'!$D:$D,'Tech Leaders 15-17'!$C:$C,$C99,'Tech Leaders 15-17'!$E:$E,"Per group"))</f>
        <v>4</v>
      </c>
      <c r="L99" s="59" t="n">
        <f aca="false">MAX(_xlfn.MAXIFS('Little Explorers 5-7'!$D:$D,'Little Explorers 5-7'!$C:$C,$C99,'Little Explorers 5-7'!$E:$E,"Per class"),_xlfn.MAXIFS('Junior Makers 8-11'!$D:$D,'Junior Makers 8-11'!$C:$C,$C99,'Junior Makers 8-11'!$E:$E,"Per class"),_xlfn.MAXIFS('Young Innovators 12-14'!$D:$D,'Young Innovators 12-14'!$C:$C,$C99,'Young Innovators 12-14'!$E:$E,"Per class"),_xlfn.MAXIFS('Tech Leaders 15-17'!$D:$D,'Tech Leaders 15-17'!$C:$C,$C99,'Tech Leaders 15-17'!$E:$E,"Per class"))</f>
        <v>0</v>
      </c>
      <c r="M99" s="14" t="s">
        <v>119</v>
      </c>
      <c r="N99" s="14" t="s">
        <v>826</v>
      </c>
    </row>
    <row r="100" customFormat="false" ht="15" hidden="false" customHeight="false" outlineLevel="0" collapsed="false">
      <c r="A100" s="14" t="n">
        <v>83</v>
      </c>
      <c r="B100" s="14" t="s">
        <v>410</v>
      </c>
      <c r="C100" s="17" t="s">
        <v>494</v>
      </c>
      <c r="D100" s="14" t="s">
        <v>830</v>
      </c>
      <c r="E100" s="60" t="s">
        <v>380</v>
      </c>
      <c r="F100" s="56" t="n">
        <f aca="false">COUNTIF('Little Explorers 5-7'!$C:$C,$C100)+COUNTIF('Junior Makers 8-11'!$C:$C,$C100)+COUNTIF('Young Innovators 12-14'!$C:$C,$C100)+COUNTIF('Tech Leaders 15-17'!$C:$C,$C100)</f>
        <v>2</v>
      </c>
      <c r="G100" s="57" t="n">
        <f aca="false">COUNTIF('Little Explorers 5-7'!$C:$C,$C100)</f>
        <v>0</v>
      </c>
      <c r="H100" s="57" t="n">
        <f aca="false">COUNTIF('Junior Makers 8-11'!$C:$C,$C100)</f>
        <v>1</v>
      </c>
      <c r="I100" s="57" t="n">
        <f aca="false">COUNTIF('Young Innovators 12-14'!$C:$C,$C100)</f>
        <v>0</v>
      </c>
      <c r="J100" s="57" t="n">
        <f aca="false">COUNTIF('Tech Leaders 15-17'!$C:$C,$C100)</f>
        <v>1</v>
      </c>
      <c r="K100" s="58" t="n">
        <f aca="false">MAX(_xlfn.MAXIFS('Little Explorers 5-7'!$D:$D,'Little Explorers 5-7'!$C:$C,$C100,'Little Explorers 5-7'!$E:$E,"Per group"),_xlfn.MAXIFS('Junior Makers 8-11'!$D:$D,'Junior Makers 8-11'!$C:$C,$C100,'Junior Makers 8-11'!$E:$E,"Per group"),_xlfn.MAXIFS('Young Innovators 12-14'!$D:$D,'Young Innovators 12-14'!$C:$C,$C100,'Young Innovators 12-14'!$E:$E,"Per group"),_xlfn.MAXIFS('Tech Leaders 15-17'!$D:$D,'Tech Leaders 15-17'!$C:$C,$C100,'Tech Leaders 15-17'!$E:$E,"Per group"))</f>
        <v>0</v>
      </c>
      <c r="L100" s="59" t="n">
        <f aca="false">MAX(_xlfn.MAXIFS('Little Explorers 5-7'!$D:$D,'Little Explorers 5-7'!$C:$C,$C100,'Little Explorers 5-7'!$E:$E,"Per class"),_xlfn.MAXIFS('Junior Makers 8-11'!$D:$D,'Junior Makers 8-11'!$C:$C,$C100,'Junior Makers 8-11'!$E:$E,"Per class"),_xlfn.MAXIFS('Young Innovators 12-14'!$D:$D,'Young Innovators 12-14'!$C:$C,$C100,'Young Innovators 12-14'!$E:$E,"Per class"),_xlfn.MAXIFS('Tech Leaders 15-17'!$D:$D,'Tech Leaders 15-17'!$C:$C,$C100,'Tech Leaders 15-17'!$E:$E,"Per class"))</f>
        <v>1</v>
      </c>
      <c r="M100" s="14" t="s">
        <v>690</v>
      </c>
      <c r="N100" s="14"/>
    </row>
    <row r="102" customFormat="false" ht="15" hidden="false" customHeight="false" outlineLevel="0" collapsed="false">
      <c r="B102" s="34" t="s">
        <v>831</v>
      </c>
    </row>
    <row r="103" customFormat="false" ht="15" hidden="false" customHeight="false" outlineLevel="0" collapsed="false">
      <c r="B103" s="61" t="s">
        <v>392</v>
      </c>
      <c r="C103" s="62" t="n">
        <f aca="false">COUNTIF($B$5:$B$100,B103)</f>
        <v>3</v>
      </c>
    </row>
    <row r="104" customFormat="false" ht="15" hidden="false" customHeight="false" outlineLevel="0" collapsed="false">
      <c r="B104" s="61" t="s">
        <v>447</v>
      </c>
      <c r="C104" s="62" t="n">
        <f aca="false">COUNTIF($B$5:$B$100,B104)</f>
        <v>2</v>
      </c>
    </row>
    <row r="105" customFormat="false" ht="15" hidden="false" customHeight="false" outlineLevel="0" collapsed="false">
      <c r="B105" s="61" t="s">
        <v>419</v>
      </c>
      <c r="C105" s="62" t="n">
        <f aca="false">COUNTIF($B$5:$B$100,B105)</f>
        <v>13</v>
      </c>
    </row>
    <row r="106" customFormat="false" ht="15" hidden="false" customHeight="false" outlineLevel="0" collapsed="false">
      <c r="B106" s="61" t="s">
        <v>571</v>
      </c>
      <c r="C106" s="62" t="n">
        <f aca="false">COUNTIF($B$5:$B$100,B106)</f>
        <v>2</v>
      </c>
    </row>
    <row r="107" customFormat="false" ht="15" hidden="false" customHeight="false" outlineLevel="0" collapsed="false">
      <c r="B107" s="61" t="s">
        <v>522</v>
      </c>
      <c r="C107" s="62" t="n">
        <f aca="false">COUNTIF($B$5:$B$100,B107)</f>
        <v>2</v>
      </c>
    </row>
    <row r="108" customFormat="false" ht="15" hidden="false" customHeight="false" outlineLevel="0" collapsed="false">
      <c r="B108" s="61" t="s">
        <v>396</v>
      </c>
      <c r="C108" s="62" t="n">
        <f aca="false">COUNTIF($B$5:$B$100,B108)</f>
        <v>9</v>
      </c>
    </row>
    <row r="109" customFormat="false" ht="15" hidden="false" customHeight="false" outlineLevel="0" collapsed="false">
      <c r="B109" s="61" t="s">
        <v>377</v>
      </c>
      <c r="C109" s="62" t="n">
        <f aca="false">COUNTIF($B$5:$B$100,B109)</f>
        <v>5</v>
      </c>
    </row>
    <row r="110" customFormat="false" ht="15" hidden="false" customHeight="false" outlineLevel="0" collapsed="false">
      <c r="B110" s="61" t="s">
        <v>398</v>
      </c>
      <c r="C110" s="62" t="n">
        <f aca="false">COUNTIF($B$5:$B$100,B110)</f>
        <v>10</v>
      </c>
    </row>
    <row r="111" customFormat="false" ht="15" hidden="false" customHeight="false" outlineLevel="0" collapsed="false">
      <c r="B111" s="61" t="s">
        <v>381</v>
      </c>
      <c r="C111" s="62" t="n">
        <f aca="false">COUNTIF($B$5:$B$100,B111)</f>
        <v>7</v>
      </c>
    </row>
    <row r="112" customFormat="false" ht="15" hidden="false" customHeight="false" outlineLevel="0" collapsed="false">
      <c r="B112" s="61" t="s">
        <v>383</v>
      </c>
      <c r="C112" s="62" t="n">
        <f aca="false">COUNTIF($B$5:$B$100,B112)</f>
        <v>6</v>
      </c>
    </row>
    <row r="113" customFormat="false" ht="15" hidden="false" customHeight="false" outlineLevel="0" collapsed="false">
      <c r="B113" s="61" t="s">
        <v>404</v>
      </c>
      <c r="C113" s="62" t="n">
        <f aca="false">COUNTIF($B$5:$B$100,B113)</f>
        <v>9</v>
      </c>
    </row>
    <row r="114" customFormat="false" ht="15" hidden="false" customHeight="false" outlineLevel="0" collapsed="false">
      <c r="B114" s="61" t="s">
        <v>386</v>
      </c>
      <c r="C114" s="62" t="n">
        <f aca="false">COUNTIF($B$5:$B$100,B114)</f>
        <v>10</v>
      </c>
    </row>
    <row r="115" customFormat="false" ht="15" hidden="false" customHeight="false" outlineLevel="0" collapsed="false">
      <c r="B115" s="61" t="s">
        <v>410</v>
      </c>
      <c r="C115" s="62" t="n">
        <f aca="false">COUNTIF($B$5:$B$100,B115)</f>
        <v>5</v>
      </c>
    </row>
    <row r="116" customFormat="false" ht="15" hidden="false" customHeight="false" outlineLevel="0" collapsed="false">
      <c r="B116" s="63" t="s">
        <v>832</v>
      </c>
      <c r="C116" s="63" t="n">
        <f aca="false">SUM(C103:C115)</f>
        <v>83</v>
      </c>
    </row>
  </sheetData>
  <autoFilter ref="A4:N100"/>
  <mergeCells count="13">
    <mergeCell ref="B5:N5"/>
    <mergeCell ref="B9:N9"/>
    <mergeCell ref="B12:N12"/>
    <mergeCell ref="B26:N26"/>
    <mergeCell ref="B29:N29"/>
    <mergeCell ref="B32:N32"/>
    <mergeCell ref="B42:N42"/>
    <mergeCell ref="B48:N48"/>
    <mergeCell ref="B59:N59"/>
    <mergeCell ref="B67:N67"/>
    <mergeCell ref="B74:N74"/>
    <mergeCell ref="B84:N84"/>
    <mergeCell ref="B95:N95"/>
  </mergeCells>
  <conditionalFormatting sqref="F5:F100">
    <cfRule type="colorScale" priority="2">
      <colorScale>
        <cfvo type="num" val="0"/>
        <cfvo type="max" val="0"/>
        <color rgb="FFFFFFFF"/>
        <color rgb="FFF4B084"/>
      </colorScale>
    </cfRule>
  </conditionalFormatting>
  <conditionalFormatting sqref="G5:G100">
    <cfRule type="cellIs" priority="3" operator="greaterThan" aboveAverage="0" equalAverage="0" bottom="0" percent="0" rank="0" text="" dxfId="38">
      <formula>0</formula>
    </cfRule>
  </conditionalFormatting>
  <conditionalFormatting sqref="H5:H100">
    <cfRule type="cellIs" priority="4" operator="greaterThan" aboveAverage="0" equalAverage="0" bottom="0" percent="0" rank="0" text="" dxfId="39">
      <formula>0</formula>
    </cfRule>
  </conditionalFormatting>
  <conditionalFormatting sqref="I5:I100">
    <cfRule type="cellIs" priority="5" operator="greaterThan" aboveAverage="0" equalAverage="0" bottom="0" percent="0" rank="0" text="" dxfId="40">
      <formula>0</formula>
    </cfRule>
  </conditionalFormatting>
  <conditionalFormatting sqref="J5:J100">
    <cfRule type="cellIs" priority="6" operator="greaterThan" aboveAverage="0" equalAverage="0" bottom="0" percent="0" rank="0" text="" dxfId="4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38F"/>
    <pageSetUpPr fitToPage="true"/>
  </sheetPr>
  <dimension ref="A1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28"/>
    <col collapsed="false" customWidth="true" hidden="false" outlineLevel="0" max="6" min="6" style="0" width="26"/>
    <col collapsed="false" customWidth="true" hidden="false" outlineLevel="0" max="7" min="7" style="0" width="36"/>
    <col collapsed="false" customWidth="true" hidden="false" outlineLevel="0" max="8" min="8" style="0" width="40"/>
    <col collapsed="false" customWidth="true" hidden="false" outlineLevel="0" max="10" min="9" style="0" width="34"/>
  </cols>
  <sheetData>
    <row r="1" customFormat="false" ht="17.35" hidden="false" customHeight="false" outlineLevel="0" collapsed="false">
      <c r="A1" s="7" t="s">
        <v>15</v>
      </c>
    </row>
    <row r="3" customFormat="false" ht="15" hidden="false" customHeight="false" outlineLevel="0" collapsed="false">
      <c r="A3" s="8" t="s">
        <v>833</v>
      </c>
      <c r="B3" s="8" t="s">
        <v>373</v>
      </c>
      <c r="C3" s="8" t="s">
        <v>834</v>
      </c>
      <c r="D3" s="8" t="s">
        <v>835</v>
      </c>
      <c r="E3" s="8" t="s">
        <v>836</v>
      </c>
      <c r="F3" s="8" t="s">
        <v>837</v>
      </c>
      <c r="G3" s="8" t="s">
        <v>838</v>
      </c>
      <c r="H3" s="8" t="s">
        <v>839</v>
      </c>
      <c r="I3" s="8" t="s">
        <v>840</v>
      </c>
      <c r="J3" s="8" t="s">
        <v>841</v>
      </c>
    </row>
    <row r="4" customFormat="false" ht="23.85" hidden="false" customHeight="false" outlineLevel="0" collapsed="false">
      <c r="A4" s="17" t="s">
        <v>842</v>
      </c>
      <c r="B4" s="14" t="s">
        <v>843</v>
      </c>
      <c r="C4" s="14" t="s">
        <v>844</v>
      </c>
      <c r="D4" s="14" t="s">
        <v>845</v>
      </c>
      <c r="E4" s="14" t="s">
        <v>846</v>
      </c>
      <c r="F4" s="14" t="s">
        <v>847</v>
      </c>
      <c r="G4" s="14" t="s">
        <v>848</v>
      </c>
      <c r="H4" s="14" t="s">
        <v>849</v>
      </c>
      <c r="I4" s="14" t="s">
        <v>850</v>
      </c>
      <c r="J4" s="14" t="s">
        <v>197</v>
      </c>
    </row>
    <row r="5" customFormat="false" ht="23.85" hidden="false" customHeight="false" outlineLevel="0" collapsed="false">
      <c r="A5" s="17" t="s">
        <v>161</v>
      </c>
      <c r="B5" s="14" t="s">
        <v>851</v>
      </c>
      <c r="C5" s="14" t="s">
        <v>844</v>
      </c>
      <c r="D5" s="14" t="s">
        <v>852</v>
      </c>
      <c r="E5" s="14" t="s">
        <v>853</v>
      </c>
      <c r="F5" s="14" t="s">
        <v>854</v>
      </c>
      <c r="G5" s="14" t="s">
        <v>855</v>
      </c>
      <c r="H5" s="14" t="s">
        <v>856</v>
      </c>
      <c r="I5" s="14" t="s">
        <v>857</v>
      </c>
      <c r="J5" s="14" t="s">
        <v>244</v>
      </c>
    </row>
    <row r="6" customFormat="false" ht="46.25" hidden="false" customHeight="false" outlineLevel="0" collapsed="false">
      <c r="A6" s="17" t="s">
        <v>234</v>
      </c>
      <c r="B6" s="14" t="s">
        <v>858</v>
      </c>
      <c r="C6" s="14" t="s">
        <v>844</v>
      </c>
      <c r="D6" s="14" t="s">
        <v>859</v>
      </c>
      <c r="E6" s="14" t="s">
        <v>853</v>
      </c>
      <c r="F6" s="14" t="s">
        <v>860</v>
      </c>
      <c r="G6" s="14" t="s">
        <v>861</v>
      </c>
      <c r="H6" s="14" t="s">
        <v>862</v>
      </c>
      <c r="I6" s="14" t="s">
        <v>863</v>
      </c>
      <c r="J6" s="14" t="s">
        <v>864</v>
      </c>
    </row>
    <row r="7" customFormat="false" ht="23.85" hidden="false" customHeight="false" outlineLevel="0" collapsed="false">
      <c r="A7" s="17" t="s">
        <v>865</v>
      </c>
      <c r="B7" s="14" t="s">
        <v>866</v>
      </c>
      <c r="C7" s="14" t="s">
        <v>844</v>
      </c>
      <c r="D7" s="14" t="s">
        <v>867</v>
      </c>
      <c r="E7" s="14" t="s">
        <v>868</v>
      </c>
      <c r="F7" s="14" t="s">
        <v>869</v>
      </c>
      <c r="G7" s="14" t="s">
        <v>870</v>
      </c>
      <c r="H7" s="14" t="s">
        <v>871</v>
      </c>
      <c r="I7" s="14" t="s">
        <v>48</v>
      </c>
      <c r="J7" s="14" t="s">
        <v>872</v>
      </c>
    </row>
    <row r="8" customFormat="false" ht="35.05" hidden="false" customHeight="false" outlineLevel="0" collapsed="false">
      <c r="A8" s="17" t="s">
        <v>873</v>
      </c>
      <c r="B8" s="14" t="s">
        <v>874</v>
      </c>
      <c r="C8" s="14" t="s">
        <v>844</v>
      </c>
      <c r="D8" s="14" t="s">
        <v>875</v>
      </c>
      <c r="E8" s="14" t="s">
        <v>876</v>
      </c>
      <c r="F8" s="14" t="s">
        <v>877</v>
      </c>
      <c r="G8" s="14" t="s">
        <v>878</v>
      </c>
      <c r="H8" s="14" t="s">
        <v>879</v>
      </c>
      <c r="I8" s="14" t="s">
        <v>48</v>
      </c>
      <c r="J8" s="14" t="s">
        <v>880</v>
      </c>
    </row>
    <row r="9" customFormat="false" ht="15" hidden="false" customHeight="false" outlineLevel="0" collapsed="false">
      <c r="A9" s="17" t="s">
        <v>157</v>
      </c>
      <c r="B9" s="14" t="s">
        <v>881</v>
      </c>
      <c r="C9" s="14" t="s">
        <v>844</v>
      </c>
      <c r="D9" s="14" t="s">
        <v>882</v>
      </c>
      <c r="E9" s="14" t="s">
        <v>883</v>
      </c>
      <c r="F9" s="14" t="s">
        <v>884</v>
      </c>
      <c r="G9" s="14" t="s">
        <v>885</v>
      </c>
      <c r="H9" s="14"/>
      <c r="I9" s="14" t="s">
        <v>155</v>
      </c>
      <c r="J9" s="14" t="s">
        <v>45</v>
      </c>
    </row>
    <row r="10" customFormat="false" ht="15" hidden="false" customHeight="false" outlineLevel="0" collapsed="false">
      <c r="A10" s="17" t="s">
        <v>230</v>
      </c>
      <c r="B10" s="14" t="s">
        <v>886</v>
      </c>
      <c r="C10" s="14" t="s">
        <v>844</v>
      </c>
      <c r="D10" s="14" t="s">
        <v>859</v>
      </c>
      <c r="E10" s="14" t="s">
        <v>883</v>
      </c>
      <c r="F10" s="14" t="s">
        <v>887</v>
      </c>
      <c r="G10" s="14" t="s">
        <v>888</v>
      </c>
      <c r="H10" s="14"/>
      <c r="I10" s="14" t="s">
        <v>228</v>
      </c>
      <c r="J10" s="14" t="s">
        <v>48</v>
      </c>
    </row>
    <row r="11" customFormat="false" ht="23.85" hidden="false" customHeight="false" outlineLevel="0" collapsed="false">
      <c r="A11" s="17" t="s">
        <v>889</v>
      </c>
      <c r="B11" s="14" t="s">
        <v>890</v>
      </c>
      <c r="C11" s="14" t="s">
        <v>844</v>
      </c>
      <c r="D11" s="14" t="s">
        <v>845</v>
      </c>
      <c r="E11" s="14" t="s">
        <v>891</v>
      </c>
      <c r="F11" s="14" t="s">
        <v>892</v>
      </c>
      <c r="G11" s="14" t="s">
        <v>893</v>
      </c>
      <c r="H11" s="14"/>
      <c r="I11" s="14" t="s">
        <v>119</v>
      </c>
      <c r="J11" s="14" t="s">
        <v>134</v>
      </c>
    </row>
    <row r="12" customFormat="false" ht="15" hidden="false" customHeight="false" outlineLevel="0" collapsed="false">
      <c r="A12" s="17" t="s">
        <v>130</v>
      </c>
      <c r="B12" s="14" t="s">
        <v>894</v>
      </c>
      <c r="C12" s="14" t="s">
        <v>844</v>
      </c>
      <c r="D12" s="14" t="s">
        <v>895</v>
      </c>
      <c r="E12" s="14" t="s">
        <v>896</v>
      </c>
      <c r="F12" s="14" t="s">
        <v>897</v>
      </c>
      <c r="G12" s="14" t="s">
        <v>898</v>
      </c>
      <c r="H12" s="14"/>
      <c r="I12" s="14" t="s">
        <v>126</v>
      </c>
      <c r="J12" s="14" t="s">
        <v>48</v>
      </c>
    </row>
    <row r="13" customFormat="false" ht="23.85" hidden="false" customHeight="false" outlineLevel="0" collapsed="false">
      <c r="A13" s="17" t="s">
        <v>136</v>
      </c>
      <c r="B13" s="14" t="s">
        <v>899</v>
      </c>
      <c r="C13" s="14" t="s">
        <v>844</v>
      </c>
      <c r="D13" s="14" t="s">
        <v>900</v>
      </c>
      <c r="E13" s="14" t="s">
        <v>901</v>
      </c>
      <c r="F13" s="14" t="s">
        <v>902</v>
      </c>
      <c r="G13" s="14" t="s">
        <v>903</v>
      </c>
      <c r="H13" s="14"/>
      <c r="I13" s="14" t="s">
        <v>134</v>
      </c>
      <c r="J13" s="14" t="s">
        <v>904</v>
      </c>
    </row>
    <row r="14" customFormat="false" ht="15" hidden="false" customHeight="false" outlineLevel="0" collapsed="false">
      <c r="A14" s="17" t="s">
        <v>274</v>
      </c>
      <c r="B14" s="14" t="s">
        <v>905</v>
      </c>
      <c r="C14" s="14" t="s">
        <v>844</v>
      </c>
      <c r="D14" s="14" t="s">
        <v>875</v>
      </c>
      <c r="E14" s="14" t="s">
        <v>906</v>
      </c>
      <c r="F14" s="14" t="s">
        <v>907</v>
      </c>
      <c r="G14" s="14" t="s">
        <v>908</v>
      </c>
      <c r="H14" s="14" t="s">
        <v>909</v>
      </c>
      <c r="I14" s="14" t="s">
        <v>796</v>
      </c>
      <c r="J14" s="14" t="s">
        <v>48</v>
      </c>
    </row>
    <row r="15" customFormat="false" ht="15" hidden="false" customHeight="false" outlineLevel="0" collapsed="false">
      <c r="A15" s="17" t="s">
        <v>194</v>
      </c>
      <c r="B15" s="14" t="s">
        <v>910</v>
      </c>
      <c r="C15" s="14" t="s">
        <v>844</v>
      </c>
      <c r="D15" s="14" t="s">
        <v>867</v>
      </c>
      <c r="E15" s="14" t="s">
        <v>911</v>
      </c>
      <c r="F15" s="14" t="s">
        <v>912</v>
      </c>
      <c r="G15" s="14" t="s">
        <v>913</v>
      </c>
      <c r="H15" s="14"/>
      <c r="I15" s="14" t="s">
        <v>914</v>
      </c>
      <c r="J15" s="14" t="s">
        <v>353</v>
      </c>
    </row>
    <row r="16" customFormat="false" ht="23.85" hidden="false" customHeight="false" outlineLevel="0" collapsed="false">
      <c r="A16" s="17" t="s">
        <v>355</v>
      </c>
      <c r="B16" s="14" t="s">
        <v>915</v>
      </c>
      <c r="C16" s="14" t="s">
        <v>844</v>
      </c>
      <c r="D16" s="14" t="s">
        <v>875</v>
      </c>
      <c r="E16" s="14" t="s">
        <v>911</v>
      </c>
      <c r="F16" s="14" t="s">
        <v>916</v>
      </c>
      <c r="G16" s="14" t="s">
        <v>917</v>
      </c>
      <c r="H16" s="14"/>
      <c r="I16" s="14" t="s">
        <v>353</v>
      </c>
      <c r="J16" s="14" t="s">
        <v>289</v>
      </c>
    </row>
    <row r="17" customFormat="false" ht="15" hidden="false" customHeight="false" outlineLevel="0" collapsed="false">
      <c r="A17" s="17" t="s">
        <v>918</v>
      </c>
      <c r="B17" s="14" t="s">
        <v>919</v>
      </c>
      <c r="C17" s="14" t="s">
        <v>844</v>
      </c>
      <c r="D17" s="14" t="s">
        <v>859</v>
      </c>
      <c r="E17" s="14" t="s">
        <v>920</v>
      </c>
      <c r="F17" s="14" t="s">
        <v>921</v>
      </c>
      <c r="G17" s="14" t="s">
        <v>922</v>
      </c>
      <c r="H17" s="14"/>
      <c r="I17" s="14" t="s">
        <v>48</v>
      </c>
      <c r="J17" s="14" t="s">
        <v>923</v>
      </c>
    </row>
    <row r="18" customFormat="false" ht="23.85" hidden="false" customHeight="false" outlineLevel="0" collapsed="false">
      <c r="A18" s="17" t="s">
        <v>221</v>
      </c>
      <c r="B18" s="14" t="s">
        <v>924</v>
      </c>
      <c r="C18" s="14" t="s">
        <v>844</v>
      </c>
      <c r="D18" s="14" t="s">
        <v>925</v>
      </c>
      <c r="E18" s="14" t="s">
        <v>926</v>
      </c>
      <c r="F18" s="14" t="s">
        <v>927</v>
      </c>
      <c r="G18" s="14" t="s">
        <v>928</v>
      </c>
      <c r="H18" s="14"/>
      <c r="I18" s="14" t="s">
        <v>219</v>
      </c>
      <c r="J18" s="14" t="s">
        <v>929</v>
      </c>
    </row>
    <row r="19" customFormat="false" ht="15" hidden="false" customHeight="false" outlineLevel="0" collapsed="false">
      <c r="A19" s="17" t="s">
        <v>280</v>
      </c>
      <c r="B19" s="14" t="s">
        <v>930</v>
      </c>
      <c r="C19" s="14" t="s">
        <v>844</v>
      </c>
      <c r="D19" s="14" t="s">
        <v>859</v>
      </c>
      <c r="E19" s="14" t="s">
        <v>931</v>
      </c>
      <c r="F19" s="14" t="s">
        <v>932</v>
      </c>
      <c r="G19" s="14" t="s">
        <v>933</v>
      </c>
      <c r="H19" s="14"/>
      <c r="I19" s="14" t="s">
        <v>934</v>
      </c>
      <c r="J19" s="14" t="s">
        <v>48</v>
      </c>
    </row>
    <row r="20" customFormat="false" ht="23.85" hidden="false" customHeight="false" outlineLevel="0" collapsed="false">
      <c r="A20" s="17" t="s">
        <v>935</v>
      </c>
      <c r="B20" s="14" t="s">
        <v>936</v>
      </c>
      <c r="C20" s="14" t="s">
        <v>844</v>
      </c>
      <c r="D20" s="14" t="s">
        <v>937</v>
      </c>
      <c r="E20" s="14" t="s">
        <v>938</v>
      </c>
      <c r="F20" s="14" t="s">
        <v>939</v>
      </c>
      <c r="G20" s="14" t="s">
        <v>940</v>
      </c>
      <c r="H20" s="14"/>
      <c r="I20" s="14" t="s">
        <v>941</v>
      </c>
      <c r="J20" s="14" t="s">
        <v>48</v>
      </c>
    </row>
    <row r="21" customFormat="false" ht="15" hidden="false" customHeight="false" outlineLevel="0" collapsed="false">
      <c r="A21" s="17" t="s">
        <v>316</v>
      </c>
      <c r="B21" s="14" t="s">
        <v>942</v>
      </c>
      <c r="C21" s="14" t="s">
        <v>943</v>
      </c>
      <c r="D21" s="14" t="s">
        <v>859</v>
      </c>
      <c r="E21" s="14" t="s">
        <v>944</v>
      </c>
      <c r="F21" s="14" t="s">
        <v>945</v>
      </c>
      <c r="G21" s="14" t="s">
        <v>946</v>
      </c>
      <c r="H21" s="14" t="s">
        <v>947</v>
      </c>
      <c r="I21" s="14" t="s">
        <v>314</v>
      </c>
      <c r="J21" s="14" t="s">
        <v>948</v>
      </c>
    </row>
    <row r="22" customFormat="false" ht="23.85" hidden="false" customHeight="false" outlineLevel="0" collapsed="false">
      <c r="A22" s="17" t="s">
        <v>949</v>
      </c>
      <c r="B22" s="14" t="s">
        <v>950</v>
      </c>
      <c r="C22" s="14" t="s">
        <v>844</v>
      </c>
      <c r="D22" s="14" t="s">
        <v>867</v>
      </c>
      <c r="E22" s="14" t="s">
        <v>883</v>
      </c>
      <c r="F22" s="14" t="s">
        <v>951</v>
      </c>
      <c r="G22" s="14" t="s">
        <v>952</v>
      </c>
      <c r="H22" s="14"/>
      <c r="I22" s="14" t="s">
        <v>953</v>
      </c>
      <c r="J22" s="14" t="s">
        <v>48</v>
      </c>
    </row>
    <row r="23" customFormat="false" ht="15" hidden="false" customHeight="false" outlineLevel="0" collapsed="false">
      <c r="A23" s="17" t="s">
        <v>348</v>
      </c>
      <c r="B23" s="14" t="s">
        <v>954</v>
      </c>
      <c r="C23" s="14" t="s">
        <v>844</v>
      </c>
      <c r="D23" s="14" t="s">
        <v>955</v>
      </c>
      <c r="E23" s="14" t="s">
        <v>883</v>
      </c>
      <c r="F23" s="14" t="s">
        <v>956</v>
      </c>
      <c r="G23" s="14" t="s">
        <v>957</v>
      </c>
      <c r="H23" s="14" t="s">
        <v>958</v>
      </c>
      <c r="I23" s="14" t="s">
        <v>346</v>
      </c>
      <c r="J23" s="14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2026-09-30T04:08:05Z</dcterms:created>
  <dc:creator>openpyxl</dc:creator>
  <dc:description/>
  <dc:language>en-US</dc:language>
  <cp:lastModifiedBy/>
  <dcterms:modified xsi:type="dcterms:W3CDTF">2026-09-30T04:08:05Z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