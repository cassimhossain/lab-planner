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_-\£* #,##0.00_-;&quot;-£&quot;* #,##0.00_-;_-\£* \-??_-;_-@"/>
    <numFmt numFmtId="166" formatCode="_(* #,##0_);_(* \(#,##0\);_(* \-??_);_(@_)"/>
    <numFmt numFmtId="167" formatCode="_(* #,##0.00_);_(* \(#,##0.00\);_(* \-??_);_(@_)"/>
  </numFmts>
  <fonts count="14">
    <font>
      <name val="Calibri"/>
      <color theme="1"/>
      <sz val="11"/>
      <scheme val="minor"/>
    </font>
    <font>
      <name val="Georgia"/>
      <b val="1"/>
      <i val="1"/>
      <color rgb="FF000000"/>
      <sz val="16"/>
    </font>
    <font/>
    <font>
      <name val="Georgia"/>
      <i val="1"/>
      <color rgb="FF000000"/>
      <sz val="12"/>
    </font>
    <font>
      <name val="Georgia"/>
      <color theme="1"/>
    </font>
    <font>
      <name val="Georgia"/>
      <b val="1"/>
      <color rgb="FF000000"/>
      <sz val="10"/>
    </font>
    <font>
      <name val="Georgia"/>
      <color rgb="FF000000"/>
      <sz val="10"/>
    </font>
    <font>
      <name val="Georgia"/>
      <b val="1"/>
      <color rgb="FFF2F2F2"/>
      <sz val="10"/>
    </font>
    <font>
      <name val="Georgia"/>
      <color theme="1"/>
      <sz val="11"/>
    </font>
    <font>
      <name val="Calibri"/>
      <color theme="1"/>
      <sz val="11"/>
    </font>
    <font>
      <name val="Georgia"/>
      <b val="1"/>
      <color rgb="FF000000"/>
      <sz val="14"/>
    </font>
    <font>
      <name val="Georgia"/>
      <color rgb="FF000000"/>
      <sz val="11"/>
    </font>
    <font>
      <name val="Georgia"/>
      <color theme="1"/>
      <sz val="10"/>
    </font>
    <font>
      <name val="Georgia"/>
      <color theme="1"/>
      <sz val="14"/>
    </font>
  </fonts>
  <fills count="5">
    <fill>
      <patternFill/>
    </fill>
    <fill>
      <patternFill patternType="lightGray"/>
    </fill>
    <fill>
      <patternFill patternType="solid">
        <fgColor rgb="FF009999"/>
        <bgColor rgb="FF0099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7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5" fillId="0" borderId="1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65" fontId="7" fillId="2" borderId="4" applyAlignment="1" pivotButton="0" quotePrefix="0" xfId="0">
      <alignment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166" fontId="8" fillId="0" borderId="4" applyAlignment="1" pivotButton="0" quotePrefix="0" xfId="0">
      <alignment horizontal="left" vertical="bottom" wrapText="1"/>
    </xf>
    <xf numFmtId="0" fontId="8" fillId="0" borderId="1" applyAlignment="1" pivotButton="0" quotePrefix="0" xfId="0">
      <alignment vertical="bottom" wrapText="1"/>
    </xf>
    <xf numFmtId="167" fontId="8" fillId="3" borderId="4" applyAlignment="1" pivotButton="0" quotePrefix="0" xfId="0">
      <alignment vertical="bottom" wrapText="1"/>
    </xf>
    <xf numFmtId="167" fontId="8" fillId="3" borderId="4" applyAlignment="1" pivotButton="0" quotePrefix="0" xfId="0">
      <alignment vertical="bottom" wrapText="1"/>
    </xf>
    <xf numFmtId="0" fontId="8" fillId="0" borderId="4" applyAlignment="1" pivotButton="0" quotePrefix="0" xfId="0">
      <alignment horizontal="center" vertical="bottom" wrapText="1"/>
    </xf>
    <xf numFmtId="166" fontId="9" fillId="3" borderId="4" applyAlignment="1" pivotButton="0" quotePrefix="0" xfId="0">
      <alignment vertical="bottom" wrapText="1"/>
    </xf>
    <xf numFmtId="166" fontId="8" fillId="3" borderId="4" applyAlignment="1" pivotButton="0" quotePrefix="0" xfId="0">
      <alignment vertical="bottom" wrapText="1"/>
    </xf>
    <xf numFmtId="0" fontId="9" fillId="0" borderId="0" applyAlignment="1" pivotButton="0" quotePrefix="0" xfId="0">
      <alignment vertical="bottom" wrapText="1"/>
    </xf>
    <xf numFmtId="0" fontId="8" fillId="0" borderId="1" applyAlignment="1" pivotButton="0" quotePrefix="0" xfId="0">
      <alignment vertical="bottom" wrapText="1"/>
    </xf>
    <xf numFmtId="167" fontId="8" fillId="4" borderId="4" applyAlignment="1" pivotButton="0" quotePrefix="0" xfId="0">
      <alignment vertical="bottom" wrapText="1"/>
    </xf>
    <xf numFmtId="166" fontId="8" fillId="4" borderId="4" applyAlignment="1" pivotButton="0" quotePrefix="0" xfId="0">
      <alignment vertical="bottom" wrapText="1"/>
    </xf>
    <xf numFmtId="0" fontId="8" fillId="0" borderId="1" applyAlignment="1" pivotButton="0" quotePrefix="0" xfId="0">
      <alignment horizontal="left" vertical="bottom" wrapText="1"/>
    </xf>
    <xf numFmtId="167" fontId="8" fillId="4" borderId="4" applyAlignment="1" pivotButton="0" quotePrefix="0" xfId="0">
      <alignment vertical="bottom" wrapText="1"/>
    </xf>
    <xf numFmtId="167" fontId="10" fillId="0" borderId="1" applyAlignment="1" pivotButton="0" quotePrefix="0" xfId="0">
      <alignment horizontal="center" vertical="bottom" wrapText="1"/>
    </xf>
    <xf numFmtId="166" fontId="10" fillId="0" borderId="1" applyAlignment="1" pivotButton="0" quotePrefix="0" xfId="0">
      <alignment horizontal="center" vertical="bottom" wrapText="1"/>
    </xf>
    <xf numFmtId="165" fontId="6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left" wrapText="1"/>
    </xf>
    <xf numFmtId="0" fontId="11" fillId="0" borderId="0" applyAlignment="1" pivotButton="0" quotePrefix="0" xfId="0">
      <alignment wrapText="1"/>
    </xf>
    <xf numFmtId="0" fontId="11" fillId="0" borderId="5" applyAlignment="1" pivotButton="0" quotePrefix="0" xfId="0">
      <alignment horizontal="center" wrapText="1"/>
    </xf>
    <xf numFmtId="0" fontId="2" fillId="0" borderId="5" pivotButton="0" quotePrefix="0" xfId="0"/>
    <xf numFmtId="0" fontId="11" fillId="0" borderId="0" applyAlignment="1" pivotButton="0" quotePrefix="0" xfId="0">
      <alignment horizontal="left" wrapText="1"/>
    </xf>
    <xf numFmtId="0" fontId="11" fillId="0" borderId="5" applyAlignment="1" pivotButton="0" quotePrefix="0" xfId="0">
      <alignment horizontal="left" wrapText="1"/>
    </xf>
    <xf numFmtId="0" fontId="11" fillId="0" borderId="6" applyAlignment="1" pivotButton="0" quotePrefix="0" xfId="0">
      <alignment horizontal="center" vertical="top" wrapText="1"/>
    </xf>
    <xf numFmtId="0" fontId="2" fillId="0" borderId="6" pivotButton="0" quotePrefix="0" xfId="0"/>
    <xf numFmtId="0" fontId="11" fillId="0" borderId="6" applyAlignment="1" pivotButton="0" quotePrefix="0" xfId="0">
      <alignment horizontal="center" wrapText="1"/>
    </xf>
    <xf numFmtId="0" fontId="6" fillId="0" borderId="0" applyAlignment="1" pivotButton="0" quotePrefix="0" xfId="0">
      <alignment wrapText="1"/>
    </xf>
    <xf numFmtId="167" fontId="12" fillId="0" borderId="0" applyAlignment="1" pivotButton="0" quotePrefix="0" xfId="0">
      <alignment horizontal="center" vertical="center" wrapText="1"/>
    </xf>
    <xf numFmtId="167" fontId="12" fillId="4" borderId="7" applyAlignment="1" pivotButton="0" quotePrefix="0" xfId="0">
      <alignment horizontal="left" vertical="center" wrapText="1"/>
    </xf>
    <xf numFmtId="0" fontId="2" fillId="0" borderId="8" pivotButton="0" quotePrefix="0" xfId="0"/>
    <xf numFmtId="0" fontId="2" fillId="0" borderId="9" pivotButton="0" quotePrefix="0" xfId="0"/>
    <xf numFmtId="167" fontId="12" fillId="4" borderId="10" applyAlignment="1" pivotButton="0" quotePrefix="0" xfId="0">
      <alignment horizontal="center" vertical="center" wrapText="1"/>
    </xf>
    <xf numFmtId="167" fontId="12" fillId="4" borderId="10" applyAlignment="1" pivotButton="0" quotePrefix="0" xfId="0">
      <alignment horizontal="left" vertical="center" wrapText="1"/>
    </xf>
    <xf numFmtId="167" fontId="12" fillId="4" borderId="0" applyAlignment="1" pivotButton="0" quotePrefix="0" xfId="0">
      <alignment horizontal="left" vertical="center" wrapText="1"/>
    </xf>
    <xf numFmtId="167" fontId="10" fillId="0" borderId="0" applyAlignment="1" pivotButton="0" quotePrefix="0" xfId="0">
      <alignment horizontal="center" wrapText="1"/>
    </xf>
    <xf numFmtId="166" fontId="10" fillId="0" borderId="0" applyAlignment="1" pivotButton="0" quotePrefix="0" xfId="0">
      <alignment horizontal="left" wrapText="1"/>
    </xf>
    <xf numFmtId="0" fontId="11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left" wrapText="1"/>
    </xf>
    <xf numFmtId="0" fontId="13" fillId="0" borderId="0" applyAlignment="1" pivotButton="0" quotePrefix="0" xfId="0">
      <alignment wrapText="1"/>
    </xf>
    <xf numFmtId="0" fontId="0" fillId="0" borderId="0" pivotButton="0" quotePrefix="0" xfId="0"/>
    <xf numFmtId="0" fontId="1" fillId="0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4" applyAlignment="1" pivotButton="0" quotePrefix="0" xfId="0">
      <alignment horizontal="left" vertical="center" wrapText="1"/>
    </xf>
    <xf numFmtId="49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vertical="center" wrapText="1"/>
    </xf>
    <xf numFmtId="0" fontId="5" fillId="0" borderId="4" applyAlignment="1" pivotButton="0" quotePrefix="0" xfId="0">
      <alignment horizontal="center" vertical="center" wrapText="1"/>
    </xf>
    <xf numFmtId="164" fontId="6" fillId="0" borderId="4" applyAlignment="1" pivotButton="0" quotePrefix="0" xfId="0">
      <alignment horizontal="left" vertical="center" wrapText="1"/>
    </xf>
    <xf numFmtId="0" fontId="8" fillId="0" borderId="4" applyAlignment="1" pivotButton="0" quotePrefix="0" xfId="0">
      <alignment vertical="bottom" wrapText="1"/>
    </xf>
    <xf numFmtId="167" fontId="10" fillId="0" borderId="4" applyAlignment="1" pivotButton="0" quotePrefix="0" xfId="0">
      <alignment horizontal="center" vertical="bottom" wrapText="1"/>
    </xf>
    <xf numFmtId="166" fontId="10" fillId="0" borderId="4" applyAlignment="1" pivotButton="0" quotePrefix="0" xfId="0">
      <alignment horizontal="center" vertical="bottom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38100</colOff>
      <row>0</row>
      <rowOff>38100</rowOff>
    </from>
    <ext cx="2343150" cy="723900"/>
    <pic>
      <nvPicPr>
        <cNvPr id="0" name="image1.jpg" descr="Maarif Logo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igilog.pk/products/4wd-smart-robot-car-chassis-kit-for-arduino-in-pakistan" TargetMode="External" Id="rId1"/><Relationship Type="http://schemas.openxmlformats.org/officeDocument/2006/relationships/hyperlink" Target="https://digilog.pk/search?q=l298n" TargetMode="External" Id="rId2"/><Relationship Type="http://schemas.openxmlformats.org/officeDocument/2006/relationships/hyperlink" Target="https://digilog.pk/search?q=18650+2+cell+holder" TargetMode="External" Id="rId3"/><Relationship Type="http://schemas.openxmlformats.org/officeDocument/2006/relationships/hyperlink" Target="https://digilog.pk/products/1-meter-tube-size-6x4-mm-flexible-pvc-tube-for-plumbing-amp-electrical-applications" TargetMode="External" Id="rId4"/><Relationship Type="http://schemas.openxmlformats.org/officeDocument/2006/relationships/hyperlink" Target="https://digilog.pk/products/mini-portable-usb-led-night-light-5730-smd-8-leds-lamp-reading-camping-cool-white" TargetMode="External" Id="rId5"/><Relationship Type="http://schemas.openxmlformats.org/officeDocument/2006/relationships/hyperlink" Target="https://alhamdtech.pk/collections/power-extension" TargetMode="External" Id="rId6"/><Relationship Type="http://schemas.openxmlformats.org/officeDocument/2006/relationships/hyperlink" Target="https://hacsons.com/product/2kg-co2-fire-extinguisher-price-in-pakistan/" TargetMode="External" Id="rId7"/><Relationship Type="http://schemas.openxmlformats.org/officeDocument/2006/relationships/hyperlink" Target="https://makeymakey.com/products/makey-makey-kit" TargetMode="External" Id="rId8"/><Relationship Type="http://schemas.openxmlformats.org/officeDocument/2006/relationships/drawing" Target="/xl/drawings/drawing1.xml" Id="rId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9"/>
  <sheetViews>
    <sheetView workbookViewId="0">
      <selection activeCell="A1" sqref="A1"/>
    </sheetView>
  </sheetViews>
  <sheetFormatPr baseColWidth="8" defaultColWidth="14.43" defaultRowHeight="15" customHeight="1"/>
  <cols>
    <col width="8.57" customWidth="1" style="59" min="1" max="1"/>
    <col width="6" customWidth="1" style="59" min="2" max="5"/>
    <col width="25" customWidth="1" style="59" min="6" max="6"/>
    <col width="9" customWidth="1" style="59" min="7" max="7"/>
    <col width="10.71" customWidth="1" style="59" min="8" max="8"/>
    <col width="12" customWidth="1" style="59" min="9" max="9"/>
    <col width="11.57" customWidth="1" style="59" min="10" max="10"/>
    <col width="15" customWidth="1" style="59" min="11" max="11"/>
    <col width="8.710000000000001" customWidth="1" style="59" min="12" max="27"/>
  </cols>
  <sheetData>
    <row r="1" ht="64.5" customHeight="1" s="59">
      <c r="A1" s="60" t="inlineStr">
        <is>
          <t>Purchase Requisition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1" t="n"/>
      <c r="K1" s="62" t="n"/>
      <c r="L1" s="4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</row>
    <row r="2">
      <c r="A2" s="63" t="inlineStr">
        <is>
          <t>PR No.</t>
        </is>
      </c>
      <c r="B2" s="61" t="n"/>
      <c r="C2" s="62" t="n"/>
      <c r="D2" s="64" t="n"/>
      <c r="E2" s="61" t="n"/>
      <c r="F2" s="62" t="n"/>
      <c r="G2" s="63" t="inlineStr">
        <is>
          <t>Date</t>
        </is>
      </c>
      <c r="H2" s="62" t="n"/>
      <c r="I2" s="65" t="inlineStr">
        <is>
          <t>05-10-2026</t>
        </is>
      </c>
      <c r="J2" s="61" t="n"/>
      <c r="K2" s="62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</row>
    <row r="3" ht="26.25" customHeight="1" s="59">
      <c r="A3" s="66" t="inlineStr">
        <is>
          <t xml:space="preserve">Requesting department </t>
        </is>
      </c>
      <c r="B3" s="61" t="n"/>
      <c r="C3" s="62" t="n"/>
      <c r="D3" s="65" t="inlineStr">
        <is>
          <t>BTEC Program (Level 3)</t>
        </is>
      </c>
      <c r="E3" s="61" t="n"/>
      <c r="F3" s="62" t="n"/>
      <c r="G3" s="63" t="inlineStr">
        <is>
          <t>Contact Details:</t>
        </is>
      </c>
      <c r="H3" s="62" t="n"/>
      <c r="I3" s="67" t="n"/>
      <c r="J3" s="61" t="n"/>
      <c r="K3" s="62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</row>
    <row r="4" ht="30.75" customHeight="1" s="59">
      <c r="A4" s="63" t="inlineStr">
        <is>
          <t>Expected delivery date</t>
        </is>
      </c>
      <c r="B4" s="61" t="n"/>
      <c r="C4" s="62" t="n"/>
      <c r="D4" s="68" t="inlineStr">
        <is>
          <t>26-10-2026</t>
        </is>
      </c>
      <c r="E4" s="61" t="n"/>
      <c r="F4" s="62" t="n"/>
      <c r="G4" s="63" t="inlineStr">
        <is>
          <t>Delivery location</t>
        </is>
      </c>
      <c r="H4" s="62" t="n"/>
      <c r="I4" s="65" t="inlineStr">
        <is>
          <t>Pak Turk Maarif Boys
 Chak Shahzad Campus</t>
        </is>
      </c>
      <c r="J4" s="61" t="n"/>
      <c r="K4" s="62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</row>
    <row r="5" ht="30" customHeight="1" s="59">
      <c r="A5" s="63" t="inlineStr">
        <is>
          <t>Purpose</t>
        </is>
      </c>
      <c r="B5" s="61" t="n"/>
      <c r="C5" s="62" t="n"/>
      <c r="D5" s="65" t="inlineStr">
        <is>
          <t>Robotics &amp; AI Club - Phase 2B Lab Essentials (other suppliers)</t>
        </is>
      </c>
      <c r="E5" s="61" t="n"/>
      <c r="F5" s="62" t="n"/>
      <c r="G5" s="63" t="inlineStr">
        <is>
          <t>Contact person for delivery</t>
        </is>
      </c>
      <c r="H5" s="62" t="n"/>
      <c r="I5" s="65" t="inlineStr">
        <is>
          <t>Qasim Mushtaq</t>
        </is>
      </c>
      <c r="J5" s="61" t="n"/>
      <c r="K5" s="62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</row>
    <row r="6" ht="25.5" customHeight="1" s="59">
      <c r="A6" s="13" t="inlineStr">
        <is>
          <t>S No.</t>
        </is>
      </c>
      <c r="B6" s="15" t="inlineStr">
        <is>
          <t>Description of Items</t>
        </is>
      </c>
      <c r="C6" s="61" t="n"/>
      <c r="D6" s="61" t="n"/>
      <c r="E6" s="62" t="n"/>
      <c r="F6" s="15" t="inlineStr">
        <is>
          <t>Specifications</t>
        </is>
      </c>
      <c r="G6" s="15" t="inlineStr">
        <is>
          <t>Unit</t>
        </is>
      </c>
      <c r="H6" s="15" t="inlineStr">
        <is>
          <t>Quantity 
required</t>
        </is>
      </c>
      <c r="I6" s="16" t="inlineStr">
        <is>
          <t>Estimated unit price</t>
        </is>
      </c>
      <c r="J6" s="16" t="inlineStr">
        <is>
          <t>Estimated 
value (Rs.)</t>
        </is>
      </c>
      <c r="K6" s="16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</row>
    <row r="7" ht="44" customHeight="1" s="59">
      <c r="A7" s="18" t="n">
        <v>1</v>
      </c>
      <c r="B7" s="69" t="inlineStr">
        <is>
          <t>4WD Robot Car (assembled)</t>
        </is>
      </c>
      <c r="C7" s="61" t="n"/>
      <c r="D7" s="61" t="n"/>
      <c r="E7" s="62" t="n"/>
      <c r="F7" s="21" t="inlineStr">
        <is>
          <t>Acrylic chassis, 4 TT gear motors, 65 mm wheels, battery holder + switch; supplied assembled</t>
        </is>
      </c>
      <c r="G7" s="21" t="inlineStr">
        <is>
          <t>Nos.</t>
        </is>
      </c>
      <c r="H7" s="22" t="n">
        <v>5</v>
      </c>
      <c r="I7" s="23" t="n">
        <v>2370</v>
      </c>
      <c r="J7" s="24">
        <f>H7*I7</f>
        <v/>
      </c>
      <c r="K7" s="24" t="inlineStr">
        <is>
          <t>Digilog (listed price; confirm assembly with store)</t>
        </is>
      </c>
    </row>
    <row r="8" ht="44" customHeight="1" s="59">
      <c r="A8" s="18" t="n">
        <v>2</v>
      </c>
      <c r="B8" s="69" t="inlineStr">
        <is>
          <t>L298N Motor Driver Module (mounted)</t>
        </is>
      </c>
      <c r="C8" s="61" t="n"/>
      <c r="D8" s="61" t="n"/>
      <c r="E8" s="62" t="n"/>
      <c r="F8" s="21" t="inlineStr">
        <is>
          <t>Dual H-bridge, fitted on each car and wired to the 4 motors</t>
        </is>
      </c>
      <c r="G8" s="21" t="inlineStr">
        <is>
          <t>Nos.</t>
        </is>
      </c>
      <c r="H8" s="22" t="n">
        <v>5</v>
      </c>
      <c r="I8" s="23" t="n">
        <v>410</v>
      </c>
      <c r="J8" s="24">
        <f>H8*I8</f>
        <v/>
      </c>
      <c r="K8" s="24" t="inlineStr">
        <is>
          <t>Digilog (listed price; wiring to be confirmed)</t>
        </is>
      </c>
    </row>
    <row r="9" ht="30" customHeight="1" s="59">
      <c r="A9" s="18" t="n">
        <v>3</v>
      </c>
      <c r="B9" s="69" t="inlineStr">
        <is>
          <t>18650 Battery Holder (2-cell)</t>
        </is>
      </c>
      <c r="C9" s="61" t="n"/>
      <c r="D9" s="61" t="n"/>
      <c r="E9" s="62" t="n"/>
      <c r="F9" s="21" t="inlineStr">
        <is>
          <t>2 x 18650, 7.4 V with leads (robot car power)</t>
        </is>
      </c>
      <c r="G9" s="21" t="inlineStr">
        <is>
          <t>Nos.</t>
        </is>
      </c>
      <c r="H9" s="22" t="n">
        <v>5</v>
      </c>
      <c r="I9" s="23" t="n">
        <v>70</v>
      </c>
      <c r="J9" s="24">
        <f>H9*I9</f>
        <v/>
      </c>
      <c r="K9" s="24" t="inlineStr">
        <is>
          <t>Digilog (listed price; out of stock at Electrobes)</t>
        </is>
      </c>
    </row>
    <row r="10" ht="30" customHeight="1" s="59">
      <c r="A10" s="18" t="n">
        <v>4</v>
      </c>
      <c r="B10" s="69" t="inlineStr">
        <is>
          <t>Crocodile Clip Test Leads</t>
        </is>
      </c>
      <c r="C10" s="61" t="n"/>
      <c r="D10" s="61" t="n"/>
      <c r="E10" s="62" t="n"/>
      <c r="F10" s="21" t="inlineStr">
        <is>
          <t>25 cm lead pair</t>
        </is>
      </c>
      <c r="G10" s="21" t="inlineStr">
        <is>
          <t>Pair</t>
        </is>
      </c>
      <c r="H10" s="22" t="n">
        <v>5</v>
      </c>
      <c r="I10" s="23" t="n">
        <v>350</v>
      </c>
      <c r="J10" s="24">
        <f>H10*I10</f>
        <v/>
      </c>
      <c r="K10" s="24" t="inlineStr">
        <is>
          <t>Digilog (listed price)</t>
        </is>
      </c>
    </row>
    <row r="11" ht="30" customHeight="1" s="59">
      <c r="A11" s="18" t="n">
        <v>5</v>
      </c>
      <c r="B11" s="69" t="inlineStr">
        <is>
          <t>Flexible Tube for Water Pump</t>
        </is>
      </c>
      <c r="C11" s="61" t="n"/>
      <c r="D11" s="61" t="n"/>
      <c r="E11" s="62" t="n"/>
      <c r="F11" s="21" t="inlineStr">
        <is>
          <t>6 x 4 mm, per metre</t>
        </is>
      </c>
      <c r="G11" s="21" t="inlineStr">
        <is>
          <t>Metre</t>
        </is>
      </c>
      <c r="H11" s="22" t="n">
        <v>5</v>
      </c>
      <c r="I11" s="23" t="n">
        <v>130</v>
      </c>
      <c r="J11" s="24">
        <f>H11*I11</f>
        <v/>
      </c>
      <c r="K11" s="24" t="inlineStr">
        <is>
          <t>Digilog (listed price)</t>
        </is>
      </c>
    </row>
    <row r="12" ht="30" customHeight="1" s="59">
      <c r="A12" s="18" t="n">
        <v>6</v>
      </c>
      <c r="B12" s="69" t="inlineStr">
        <is>
          <t>USB LED Lamp</t>
        </is>
      </c>
      <c r="C12" s="61" t="n"/>
      <c r="D12" s="61" t="n"/>
      <c r="E12" s="62" t="n"/>
      <c r="F12" s="21" t="inlineStr">
        <is>
          <t>5 V, 8-LED (low-voltage lamp for smart home)</t>
        </is>
      </c>
      <c r="G12" s="21" t="inlineStr">
        <is>
          <t>Nos.</t>
        </is>
      </c>
      <c r="H12" s="22" t="n">
        <v>5</v>
      </c>
      <c r="I12" s="23" t="n">
        <v>110</v>
      </c>
      <c r="J12" s="24">
        <f>H12*I12</f>
        <v/>
      </c>
      <c r="K12" s="24" t="inlineStr">
        <is>
          <t>Digilog (listed price)</t>
        </is>
      </c>
    </row>
    <row r="13" ht="30" customHeight="1" s="59">
      <c r="A13" s="18" t="n">
        <v>7</v>
      </c>
      <c r="B13" s="69" t="inlineStr">
        <is>
          <t>Extension Board</t>
        </is>
      </c>
      <c r="C13" s="61" t="n"/>
      <c r="D13" s="61" t="n"/>
      <c r="E13" s="62" t="n"/>
      <c r="F13" s="21" t="inlineStr">
        <is>
          <t>4-socket, 3 m cable (Camelion CMS-114 or similar)</t>
        </is>
      </c>
      <c r="G13" s="21" t="inlineStr">
        <is>
          <t>Nos.</t>
        </is>
      </c>
      <c r="H13" s="22" t="n">
        <v>3</v>
      </c>
      <c r="I13" s="23" t="n">
        <v>3120</v>
      </c>
      <c r="J13" s="24">
        <f>H13*I13</f>
        <v/>
      </c>
      <c r="K13" s="24" t="inlineStr">
        <is>
          <t>Al Hamd Tech (listed price)</t>
        </is>
      </c>
    </row>
    <row r="14" ht="44" customHeight="1" s="59">
      <c r="A14" s="18" t="n">
        <v>8</v>
      </c>
      <c r="B14" s="69" t="inlineStr">
        <is>
          <t>First Aid Box</t>
        </is>
      </c>
      <c r="C14" s="61" t="n"/>
      <c r="D14" s="61" t="n"/>
      <c r="E14" s="62" t="n"/>
      <c r="F14" s="21" t="inlineStr">
        <is>
          <t>Wall-mounted, stocked (burns gel, plasters, bandages)</t>
        </is>
      </c>
      <c r="G14" s="21" t="inlineStr">
        <is>
          <t>Nos.</t>
        </is>
      </c>
      <c r="H14" s="22" t="n">
        <v>1</v>
      </c>
      <c r="I14" s="23" t="n">
        <v>2500</v>
      </c>
      <c r="J14" s="24">
        <f>H14*I14</f>
        <v/>
      </c>
      <c r="K14" s="24" t="inlineStr">
        <is>
          <t>Estimate - local pharmacy</t>
        </is>
      </c>
    </row>
    <row r="15" ht="30" customHeight="1" s="59">
      <c r="A15" s="18" t="n">
        <v>9</v>
      </c>
      <c r="B15" s="69" t="inlineStr">
        <is>
          <t>CO2 Fire Extinguisher</t>
        </is>
      </c>
      <c r="C15" s="61" t="n"/>
      <c r="D15" s="61" t="n"/>
      <c r="E15" s="62" t="n"/>
      <c r="F15" s="21" t="inlineStr">
        <is>
          <t>2 kg, safe on electronics (only if lab has none)</t>
        </is>
      </c>
      <c r="G15" s="21" t="inlineStr">
        <is>
          <t>Nos.</t>
        </is>
      </c>
      <c r="H15" s="22" t="n">
        <v>1</v>
      </c>
      <c r="I15" s="23" t="n">
        <v>14000</v>
      </c>
      <c r="J15" s="24">
        <f>H15*I15</f>
        <v/>
      </c>
      <c r="K15" s="24" t="inlineStr">
        <is>
          <t>Hacsons (listed price)</t>
        </is>
      </c>
    </row>
    <row r="16" ht="30" customHeight="1" s="59">
      <c r="A16" s="18" t="n">
        <v>10</v>
      </c>
      <c r="B16" s="69" t="inlineStr">
        <is>
          <t>Electrical Insulation Tape</t>
        </is>
      </c>
      <c r="C16" s="61" t="n"/>
      <c r="D16" s="61" t="n"/>
      <c r="E16" s="62" t="n"/>
      <c r="F16" s="21" t="inlineStr">
        <is>
          <t>PVC, assorted colours</t>
        </is>
      </c>
      <c r="G16" s="21" t="inlineStr">
        <is>
          <t>Roll</t>
        </is>
      </c>
      <c r="H16" s="22" t="n">
        <v>5</v>
      </c>
      <c r="I16" s="23" t="n">
        <v>80</v>
      </c>
      <c r="J16" s="24">
        <f>H16*I16</f>
        <v/>
      </c>
      <c r="K16" s="24" t="inlineStr">
        <is>
          <t>Estimate - local hardware store</t>
        </is>
      </c>
    </row>
    <row r="17" ht="30" customHeight="1" s="59">
      <c r="A17" s="18" t="n">
        <v>11</v>
      </c>
      <c r="B17" s="69" t="inlineStr">
        <is>
          <t>Velcro Strips</t>
        </is>
      </c>
      <c r="C17" s="61" t="n"/>
      <c r="D17" s="61" t="n"/>
      <c r="E17" s="62" t="n"/>
      <c r="F17" s="21" t="inlineStr">
        <is>
          <t>Self-adhesive hook and loop (sensor glove)</t>
        </is>
      </c>
      <c r="G17" s="21" t="inlineStr">
        <is>
          <t>Roll</t>
        </is>
      </c>
      <c r="H17" s="22" t="n">
        <v>2</v>
      </c>
      <c r="I17" s="23" t="n">
        <v>300</v>
      </c>
      <c r="J17" s="24">
        <f>H17*I17</f>
        <v/>
      </c>
      <c r="K17" s="24" t="inlineStr">
        <is>
          <t>Estimate - local stationery</t>
        </is>
      </c>
    </row>
    <row r="18" ht="30" customHeight="1" s="59">
      <c r="A18" s="18" t="n">
        <v>12</v>
      </c>
      <c r="B18" s="69" t="inlineStr">
        <is>
          <t>Cotton Gloves</t>
        </is>
      </c>
      <c r="C18" s="61" t="n"/>
      <c r="D18" s="61" t="n"/>
      <c r="E18" s="62" t="n"/>
      <c r="F18" s="21" t="inlineStr">
        <is>
          <t>Plain (gesture-control glove)</t>
        </is>
      </c>
      <c r="G18" s="21" t="inlineStr">
        <is>
          <t>Pair</t>
        </is>
      </c>
      <c r="H18" s="22" t="n">
        <v>5</v>
      </c>
      <c r="I18" s="23" t="n">
        <v>150</v>
      </c>
      <c r="J18" s="24">
        <f>H18*I18</f>
        <v/>
      </c>
      <c r="K18" s="24" t="inlineStr">
        <is>
          <t>Estimate - local store</t>
        </is>
      </c>
    </row>
    <row r="19" ht="16" customHeight="1" s="59">
      <c r="A19" s="18" t="n">
        <v>13</v>
      </c>
      <c r="B19" s="69" t="inlineStr">
        <is>
          <t>Toothbrushes</t>
        </is>
      </c>
      <c r="C19" s="61" t="n"/>
      <c r="D19" s="61" t="n"/>
      <c r="E19" s="62" t="n"/>
      <c r="F19" s="21" t="inlineStr">
        <is>
          <t>For brush bot heads</t>
        </is>
      </c>
      <c r="G19" s="21" t="inlineStr">
        <is>
          <t>Nos.</t>
        </is>
      </c>
      <c r="H19" s="22" t="n">
        <v>10</v>
      </c>
      <c r="I19" s="23" t="n">
        <v>60</v>
      </c>
      <c r="J19" s="24">
        <f>H19*I19</f>
        <v/>
      </c>
      <c r="K19" s="24" t="inlineStr">
        <is>
          <t>Estimate - local store</t>
        </is>
      </c>
    </row>
    <row r="20" ht="30" customHeight="1" s="59">
      <c r="A20" s="18" t="n">
        <v>14</v>
      </c>
      <c r="B20" s="69" t="inlineStr">
        <is>
          <t>Table Tennis Balls</t>
        </is>
      </c>
      <c r="C20" s="61" t="n"/>
      <c r="D20" s="61" t="n"/>
      <c r="E20" s="62" t="n"/>
      <c r="F20" s="21" t="inlineStr">
        <is>
          <t>Pack of 6 (robot arm pick-and-place)</t>
        </is>
      </c>
      <c r="G20" s="21" t="inlineStr">
        <is>
          <t>Pack</t>
        </is>
      </c>
      <c r="H20" s="22" t="n">
        <v>1</v>
      </c>
      <c r="I20" s="23" t="n">
        <v>400</v>
      </c>
      <c r="J20" s="24">
        <f>H20*I20</f>
        <v/>
      </c>
      <c r="K20" s="24" t="inlineStr">
        <is>
          <t>Estimate - local sports shop</t>
        </is>
      </c>
    </row>
    <row r="21" ht="30" customHeight="1" s="59">
      <c r="A21" s="18" t="n">
        <v>15</v>
      </c>
      <c r="B21" s="69" t="inlineStr">
        <is>
          <t>Small Plant Pots with Soil</t>
        </is>
      </c>
      <c r="C21" s="61" t="n"/>
      <c r="D21" s="61" t="n"/>
      <c r="E21" s="62" t="n"/>
      <c r="F21" s="21" t="inlineStr">
        <is>
          <t>For plant watering projects</t>
        </is>
      </c>
      <c r="G21" s="21" t="inlineStr">
        <is>
          <t>Nos.</t>
        </is>
      </c>
      <c r="H21" s="22" t="n">
        <v>5</v>
      </c>
      <c r="I21" s="23" t="n">
        <v>250</v>
      </c>
      <c r="J21" s="24">
        <f>H21*I21</f>
        <v/>
      </c>
      <c r="K21" s="24" t="inlineStr">
        <is>
          <t>Estimate - local nursery</t>
        </is>
      </c>
    </row>
    <row r="22" ht="30" customHeight="1" s="59">
      <c r="A22" s="18" t="n">
        <v>16</v>
      </c>
      <c r="B22" s="69" t="inlineStr">
        <is>
          <t>Playdough Set</t>
        </is>
      </c>
      <c r="C22" s="61" t="n"/>
      <c r="D22" s="61" t="n"/>
      <c r="E22" s="62" t="n"/>
      <c r="F22" s="21" t="inlineStr">
        <is>
          <t>For conductive playdough controller</t>
        </is>
      </c>
      <c r="G22" s="21" t="inlineStr">
        <is>
          <t>Set</t>
        </is>
      </c>
      <c r="H22" s="22" t="n">
        <v>2</v>
      </c>
      <c r="I22" s="23" t="n">
        <v>800</v>
      </c>
      <c r="J22" s="24">
        <f>H22*I22</f>
        <v/>
      </c>
      <c r="K22" s="24" t="inlineStr">
        <is>
          <t>Estimate - local stationery / Daraz</t>
        </is>
      </c>
    </row>
    <row r="23" ht="30" customHeight="1" s="59">
      <c r="A23" s="18" t="n">
        <v>17</v>
      </c>
      <c r="B23" s="69" t="inlineStr">
        <is>
          <t>Galvanized Nails</t>
        </is>
      </c>
      <c r="C23" s="61" t="n"/>
      <c r="D23" s="61" t="n"/>
      <c r="E23" s="62" t="n"/>
      <c r="F23" s="21" t="inlineStr">
        <is>
          <t>Zinc-coated (lemon battery)</t>
        </is>
      </c>
      <c r="G23" s="21" t="inlineStr">
        <is>
          <t>1/4 kg</t>
        </is>
      </c>
      <c r="H23" s="22" t="n">
        <v>1</v>
      </c>
      <c r="I23" s="23" t="n">
        <v>150</v>
      </c>
      <c r="J23" s="24">
        <f>H23*I23</f>
        <v/>
      </c>
      <c r="K23" s="24" t="inlineStr">
        <is>
          <t>Estimate - local hardware store</t>
        </is>
      </c>
    </row>
    <row r="24" ht="16" customHeight="1" s="59">
      <c r="A24" s="18" t="n">
        <v>18</v>
      </c>
      <c r="B24" s="69" t="inlineStr">
        <is>
          <t>Copper Strips</t>
        </is>
      </c>
      <c r="C24" s="61" t="n"/>
      <c r="D24" s="61" t="n"/>
      <c r="E24" s="62" t="n"/>
      <c r="F24" s="21" t="inlineStr">
        <is>
          <t>For lemon battery</t>
        </is>
      </c>
      <c r="G24" s="21" t="inlineStr">
        <is>
          <t>Pack</t>
        </is>
      </c>
      <c r="H24" s="22" t="n">
        <v>1</v>
      </c>
      <c r="I24" s="23" t="n">
        <v>450</v>
      </c>
      <c r="J24" s="24">
        <f>H24*I24</f>
        <v/>
      </c>
      <c r="K24" s="24" t="inlineStr">
        <is>
          <t>Estimate - Hall Road / hardware store</t>
        </is>
      </c>
    </row>
    <row r="25" ht="30" customHeight="1" s="59">
      <c r="A25" s="18" t="n">
        <v>19</v>
      </c>
      <c r="B25" s="69" t="inlineStr">
        <is>
          <t>Aluminium Foil Roll</t>
        </is>
      </c>
      <c r="C25" s="61" t="n"/>
      <c r="D25" s="61" t="n"/>
      <c r="E25" s="62" t="n"/>
      <c r="F25" s="21" t="inlineStr">
        <is>
          <t>Kitchen foil (Makey Makey keys)</t>
        </is>
      </c>
      <c r="G25" s="21" t="inlineStr">
        <is>
          <t>Roll</t>
        </is>
      </c>
      <c r="H25" s="22" t="n">
        <v>1</v>
      </c>
      <c r="I25" s="23" t="n">
        <v>350</v>
      </c>
      <c r="J25" s="24">
        <f>H25*I25</f>
        <v/>
      </c>
      <c r="K25" s="24" t="inlineStr">
        <is>
          <t>Estimate - local store</t>
        </is>
      </c>
    </row>
    <row r="26" ht="16" customHeight="1" s="59">
      <c r="A26" s="18" t="n">
        <v>20</v>
      </c>
      <c r="B26" s="69" t="inlineStr">
        <is>
          <t>Ice Cream Sticks</t>
        </is>
      </c>
      <c r="C26" s="61" t="n"/>
      <c r="D26" s="61" t="n"/>
      <c r="E26" s="62" t="n"/>
      <c r="F26" s="21" t="inlineStr">
        <is>
          <t>Pack of 100</t>
        </is>
      </c>
      <c r="G26" s="21" t="inlineStr">
        <is>
          <t>Pack</t>
        </is>
      </c>
      <c r="H26" s="22" t="n">
        <v>2</v>
      </c>
      <c r="I26" s="23" t="n">
        <v>200</v>
      </c>
      <c r="J26" s="24">
        <f>H26*I26</f>
        <v/>
      </c>
      <c r="K26" s="24" t="inlineStr">
        <is>
          <t>Estimate - local stationery</t>
        </is>
      </c>
    </row>
    <row r="27" ht="16" customHeight="1" s="59">
      <c r="A27" s="18" t="n">
        <v>21</v>
      </c>
      <c r="B27" s="69" t="inlineStr">
        <is>
          <t>Googly Eyes</t>
        </is>
      </c>
      <c r="C27" s="61" t="n"/>
      <c r="D27" s="61" t="n"/>
      <c r="E27" s="62" t="n"/>
      <c r="F27" s="21" t="inlineStr">
        <is>
          <t>Pack of 100</t>
        </is>
      </c>
      <c r="G27" s="21" t="inlineStr">
        <is>
          <t>Pack</t>
        </is>
      </c>
      <c r="H27" s="22" t="n">
        <v>1</v>
      </c>
      <c r="I27" s="23" t="n">
        <v>200</v>
      </c>
      <c r="J27" s="24">
        <f>H27*I27</f>
        <v/>
      </c>
      <c r="K27" s="24" t="inlineStr">
        <is>
          <t>Estimate - local stationery</t>
        </is>
      </c>
    </row>
    <row r="28" ht="15.75" customHeight="1" s="59">
      <c r="A28" s="70" t="inlineStr">
        <is>
          <t>TOTAL (MAIN REQUISITION)</t>
        </is>
      </c>
      <c r="B28" s="61" t="n"/>
      <c r="C28" s="61" t="n"/>
      <c r="D28" s="61" t="n"/>
      <c r="E28" s="61" t="n"/>
      <c r="F28" s="61" t="n"/>
      <c r="G28" s="61" t="n"/>
      <c r="H28" s="61" t="n"/>
      <c r="I28" s="62" t="n"/>
      <c r="J28" s="71">
        <f>SUM(J7:J27)</f>
        <v/>
      </c>
      <c r="K28" s="62" t="n"/>
    </row>
    <row r="29" ht="48" customHeight="1" s="59"/>
    <row r="30" ht="20" customHeight="1" s="59">
      <c r="A30" s="13" t="inlineStr">
        <is>
          <t>ADDITIONAL (optional, subject to approval, not included in main total)</t>
        </is>
      </c>
      <c r="B30" s="61" t="n"/>
      <c r="C30" s="61" t="n"/>
      <c r="D30" s="61" t="n"/>
      <c r="E30" s="61" t="n"/>
      <c r="F30" s="61" t="n"/>
      <c r="G30" s="61" t="n"/>
      <c r="H30" s="61" t="n"/>
      <c r="I30" s="61" t="n"/>
      <c r="J30" s="61" t="n"/>
      <c r="K30" s="62" t="n"/>
    </row>
    <row r="31" ht="30" customHeight="1" s="59">
      <c r="A31" s="18" t="inlineStr">
        <is>
          <t>A1</t>
        </is>
      </c>
      <c r="B31" s="69" t="inlineStr">
        <is>
          <t>Makey Makey Kit</t>
        </is>
      </c>
      <c r="C31" s="61" t="n"/>
      <c r="D31" s="61" t="n"/>
      <c r="E31" s="62" t="n"/>
      <c r="F31" s="21" t="inlineStr">
        <is>
          <t>Makey Makey Classic (US price USD 51.95 + import)</t>
        </is>
      </c>
      <c r="G31" s="21" t="inlineStr">
        <is>
          <t>Kit</t>
        </is>
      </c>
      <c r="H31" s="22" t="n">
        <v>2</v>
      </c>
      <c r="I31" s="23" t="n">
        <v>17500</v>
      </c>
      <c r="J31" s="24">
        <f>H31*I31</f>
        <v/>
      </c>
      <c r="K31" s="24" t="inlineStr">
        <is>
          <t>Estimate - import / Daraz; confirm</t>
        </is>
      </c>
    </row>
    <row r="32" ht="15.75" customHeight="1" s="59">
      <c r="A32" s="70" t="inlineStr">
        <is>
          <t>TOTAL (ADDITIONAL)</t>
        </is>
      </c>
      <c r="B32" s="61" t="n"/>
      <c r="C32" s="61" t="n"/>
      <c r="D32" s="61" t="n"/>
      <c r="E32" s="61" t="n"/>
      <c r="F32" s="61" t="n"/>
      <c r="G32" s="61" t="n"/>
      <c r="H32" s="61" t="n"/>
      <c r="I32" s="62" t="n"/>
      <c r="J32" s="71">
        <f>SUM(J31:J31)</f>
        <v/>
      </c>
      <c r="K32" s="62" t="n"/>
    </row>
    <row r="33" ht="15.75" customHeight="1" s="59">
      <c r="A33" s="33" t="n"/>
      <c r="B33" s="34" t="n"/>
      <c r="C33" s="34" t="n"/>
      <c r="D33" s="34" t="n"/>
      <c r="E33" s="34" t="n"/>
      <c r="F33" s="34" t="n"/>
      <c r="G33" s="35" t="n"/>
      <c r="H33" s="35" t="n"/>
      <c r="I33" s="36" t="n"/>
      <c r="J33" s="36" t="n"/>
      <c r="K33" s="36" t="n"/>
    </row>
    <row r="34" ht="26.25" customHeight="1" s="59">
      <c r="A34" s="37" t="inlineStr">
        <is>
          <t>Requested by:</t>
        </is>
      </c>
      <c r="C34" s="37" t="n"/>
      <c r="D34" s="38" t="inlineStr">
        <is>
          <t>Qasim Mushtaq, B.Tech Level 3 Coordinator</t>
        </is>
      </c>
      <c r="E34" s="72" t="n"/>
      <c r="F34" s="72" t="n"/>
      <c r="G34" s="72" t="n"/>
      <c r="H34" s="72" t="n"/>
      <c r="I34" s="40" t="n"/>
      <c r="J34" s="41" t="n"/>
      <c r="K34" s="72" t="n"/>
    </row>
    <row r="35" ht="26.25" customHeight="1" s="59">
      <c r="A35" s="37" t="n"/>
      <c r="B35" s="37" t="n"/>
      <c r="C35" s="37" t="n"/>
      <c r="D35" s="42" t="n"/>
      <c r="E35" s="73" t="n"/>
      <c r="F35" s="73" t="n"/>
      <c r="G35" s="73" t="n"/>
      <c r="H35" s="73" t="n"/>
      <c r="I35" s="40" t="n"/>
      <c r="J35" s="40" t="inlineStr">
        <is>
          <t>Signature</t>
        </is>
      </c>
    </row>
    <row r="36" ht="26.25" customHeight="1" s="59">
      <c r="A36" s="37" t="inlineStr">
        <is>
          <t>Approved by:</t>
        </is>
      </c>
      <c r="C36" s="37" t="n"/>
      <c r="D36" s="38" t="inlineStr">
        <is>
          <t>Mr. Ali Raza , Vice Principal(Cambridge)</t>
        </is>
      </c>
      <c r="E36" s="72" t="n"/>
      <c r="F36" s="72" t="n"/>
      <c r="G36" s="72" t="n"/>
      <c r="H36" s="72" t="n"/>
      <c r="I36" s="40" t="n"/>
      <c r="J36" s="41" t="n"/>
      <c r="K36" s="72" t="n"/>
    </row>
    <row r="37" ht="26.25" customHeight="1" s="59">
      <c r="A37" s="37" t="n"/>
      <c r="B37" s="37" t="n"/>
      <c r="C37" s="37" t="n"/>
      <c r="D37" s="44" t="n"/>
      <c r="E37" s="73" t="n"/>
      <c r="F37" s="73" t="n"/>
      <c r="G37" s="73" t="n"/>
      <c r="H37" s="73" t="n"/>
      <c r="I37" s="40" t="n"/>
      <c r="J37" s="40" t="inlineStr">
        <is>
          <t>Signature</t>
        </is>
      </c>
    </row>
    <row r="38" ht="26.25" customHeight="1" s="59">
      <c r="A38" s="37" t="inlineStr">
        <is>
          <t>Approved by:</t>
        </is>
      </c>
      <c r="C38" s="37" t="n"/>
      <c r="D38" s="38" t="inlineStr">
        <is>
          <t>Miss Somia Murtaza , Principal</t>
        </is>
      </c>
      <c r="E38" s="72" t="n"/>
      <c r="F38" s="72" t="n"/>
      <c r="G38" s="72" t="n"/>
      <c r="H38" s="72" t="n"/>
      <c r="I38" s="40" t="n"/>
      <c r="J38" s="41" t="n"/>
      <c r="K38" s="72" t="n"/>
    </row>
    <row r="39" ht="15.75" customHeight="1" s="59">
      <c r="A39" s="37" t="n"/>
      <c r="B39" s="37" t="n"/>
      <c r="C39" s="37" t="n"/>
      <c r="D39" s="44" t="n"/>
      <c r="E39" s="73" t="n"/>
      <c r="F39" s="73" t="n"/>
      <c r="G39" s="73" t="n"/>
      <c r="H39" s="73" t="n"/>
      <c r="I39" s="40" t="n"/>
      <c r="J39" s="40" t="inlineStr">
        <is>
          <t>Signature</t>
        </is>
      </c>
    </row>
    <row r="40" ht="15.75" customHeight="1" s="59">
      <c r="A40" s="45" t="n"/>
      <c r="B40" s="45" t="n"/>
      <c r="C40" s="45" t="n"/>
      <c r="D40" s="35" t="n"/>
      <c r="E40" s="35" t="n"/>
      <c r="F40" s="35" t="n"/>
      <c r="G40" s="35" t="n"/>
      <c r="H40" s="35" t="n"/>
      <c r="I40" s="36" t="n"/>
      <c r="J40" s="36" t="n"/>
      <c r="K40" s="36" t="n"/>
    </row>
    <row r="41" ht="15.75" customHeight="1" s="59">
      <c r="A41" s="46" t="n"/>
      <c r="B41" s="51" t="n"/>
      <c r="E41" s="50" t="n"/>
      <c r="F41" s="50" t="n"/>
      <c r="G41" s="50" t="n"/>
      <c r="H41" s="50" t="n"/>
      <c r="I41" s="51" t="n"/>
      <c r="J41" s="51" t="n"/>
      <c r="K41" s="52" t="n"/>
    </row>
    <row r="42" ht="15.75" customHeight="1" s="59">
      <c r="A42" s="53" t="n"/>
      <c r="J42" s="54" t="n"/>
      <c r="K42" s="54" t="n"/>
    </row>
    <row r="43" ht="15.75" customHeight="1" s="59">
      <c r="A43" s="33" t="n"/>
      <c r="B43" s="34" t="n"/>
      <c r="C43" s="34" t="n"/>
      <c r="D43" s="34" t="n"/>
      <c r="E43" s="34" t="n"/>
      <c r="F43" s="34" t="n"/>
      <c r="G43" s="35" t="n"/>
      <c r="H43" s="35" t="n"/>
      <c r="I43" s="36" t="n"/>
      <c r="J43" s="36" t="n"/>
      <c r="K43" s="36" t="n"/>
    </row>
    <row r="44" ht="15.75" customHeight="1" s="59">
      <c r="A44" s="37" t="n"/>
      <c r="B44" s="37" t="n"/>
      <c r="C44" s="37" t="n"/>
      <c r="D44" s="55" t="n"/>
      <c r="I44" s="40" t="n"/>
      <c r="J44" s="40" t="n"/>
      <c r="K44" s="40" t="n"/>
    </row>
    <row r="45" ht="15.75" customHeight="1" s="59">
      <c r="A45" s="37" t="n"/>
      <c r="B45" s="37" t="n"/>
      <c r="C45" s="37" t="n"/>
      <c r="D45" s="56" t="n"/>
      <c r="I45" s="40" t="n"/>
      <c r="J45" s="40" t="n"/>
      <c r="K45" s="40" t="n"/>
    </row>
    <row r="46" ht="15.75" customHeight="1" s="59">
      <c r="A46" s="37" t="n"/>
      <c r="B46" s="37" t="n"/>
      <c r="C46" s="37" t="n"/>
      <c r="D46" s="55" t="n"/>
      <c r="I46" s="40" t="n"/>
      <c r="J46" s="40" t="n"/>
      <c r="K46" s="40" t="n"/>
    </row>
    <row r="47" ht="15.75" customHeight="1" s="59">
      <c r="A47" s="37" t="n"/>
      <c r="B47" s="37" t="n"/>
      <c r="C47" s="37" t="n"/>
      <c r="D47" s="55" t="n"/>
      <c r="I47" s="40" t="n"/>
      <c r="J47" s="40" t="n"/>
      <c r="K47" s="40" t="n"/>
    </row>
    <row r="48" ht="15.75" customHeight="1" s="59">
      <c r="A48" s="37" t="n"/>
      <c r="B48" s="37" t="n"/>
      <c r="C48" s="37" t="n"/>
      <c r="D48" s="55" t="n"/>
      <c r="I48" s="40" t="n"/>
      <c r="J48" s="40" t="n"/>
      <c r="K48" s="40" t="n"/>
    </row>
    <row r="49" ht="15.75" customHeight="1" s="59">
      <c r="A49" s="37" t="n"/>
      <c r="B49" s="37" t="n"/>
      <c r="C49" s="37" t="n"/>
      <c r="D49" s="55" t="n"/>
      <c r="I49" s="40" t="n"/>
      <c r="J49" s="40" t="n"/>
      <c r="K49" s="40" t="n"/>
    </row>
    <row r="50" ht="15.75" customHeight="1" s="59"/>
    <row r="51" ht="15.75" customHeight="1" s="59"/>
    <row r="52" ht="15.75" customHeight="1" s="59"/>
    <row r="53" ht="15.75" customHeight="1" s="59"/>
    <row r="54" ht="15.75" customHeight="1" s="59"/>
    <row r="55" ht="15.75" customHeight="1" s="59"/>
    <row r="56" ht="15.75" customHeight="1" s="59"/>
    <row r="57" ht="15.75" customHeight="1" s="59"/>
    <row r="58" ht="15.75" customHeight="1" s="59"/>
    <row r="59" ht="15.75" customHeight="1" s="59"/>
    <row r="60" ht="15.75" customHeight="1" s="59"/>
    <row r="61" ht="15.75" customHeight="1" s="59"/>
    <row r="62" ht="15.75" customHeight="1" s="59"/>
    <row r="63" ht="15.75" customHeight="1" s="59"/>
    <row r="64" ht="15.75" customHeight="1" s="59"/>
    <row r="65" ht="15.75" customHeight="1" s="59"/>
    <row r="66" ht="15.75" customHeight="1" s="59"/>
    <row r="67" ht="15.75" customHeight="1" s="59"/>
    <row r="68" ht="15.75" customHeight="1" s="59"/>
    <row r="69" ht="15.75" customHeight="1" s="59"/>
    <row r="70" ht="15.75" customHeight="1" s="59"/>
    <row r="71" ht="15.75" customHeight="1" s="59"/>
    <row r="72" ht="27" customHeight="1" s="59"/>
    <row r="73" ht="27" customHeight="1" s="59"/>
    <row r="74" ht="27" customHeight="1" s="59"/>
    <row r="75" ht="27" customHeight="1" s="59"/>
    <row r="76" ht="27" customHeight="1" s="59"/>
    <row r="77" ht="27" customHeight="1" s="59"/>
    <row r="78" ht="27" customHeight="1" s="59"/>
    <row r="79" ht="27" customHeight="1" s="59"/>
    <row r="80" ht="27" customHeight="1" s="59"/>
    <row r="81" ht="27" customHeight="1" s="59"/>
    <row r="82" ht="18.75" customHeight="1" s="59"/>
    <row r="83" ht="15.75" customHeight="1" s="59"/>
    <row r="84" ht="44.25" customHeight="1" s="59"/>
    <row r="85" ht="15.75" customHeight="1" s="59"/>
    <row r="86" ht="49.5" customHeight="1" s="59"/>
    <row r="87" ht="15.75" customHeight="1" s="59"/>
    <row r="88" ht="49.5" customHeight="1" s="59"/>
    <row r="89" ht="15.75" customHeight="1" s="59"/>
    <row r="90" ht="15.75" customHeight="1" s="59"/>
    <row r="91" ht="15.75" customHeight="1" s="59"/>
    <row r="92" ht="15.75" customHeight="1" s="59"/>
    <row r="93" ht="15.75" customHeight="1" s="59"/>
    <row r="94" ht="15.75" customHeight="1" s="59"/>
    <row r="95" ht="15.75" customHeight="1" s="59"/>
    <row r="96" ht="15.75" customHeight="1" s="59"/>
    <row r="97" ht="15.75" customHeight="1" s="59"/>
    <row r="98" ht="15.75" customHeight="1" s="59"/>
    <row r="99" ht="15.75" customHeight="1" s="59"/>
    <row r="100" ht="15.75" customHeight="1" s="59"/>
    <row r="101" ht="15.75" customHeight="1" s="59"/>
    <row r="102" ht="15.75" customHeight="1" s="59"/>
    <row r="103" ht="15.75" customHeight="1" s="59"/>
    <row r="104" ht="15.75" customHeight="1" s="59"/>
    <row r="105" ht="15.75" customHeight="1" s="59"/>
    <row r="106" ht="15.75" customHeight="1" s="59"/>
    <row r="107" ht="15.75" customHeight="1" s="59"/>
    <row r="108" ht="15.75" customHeight="1" s="59"/>
    <row r="109" ht="15.75" customHeight="1" s="59"/>
    <row r="110" ht="15.75" customHeight="1" s="59"/>
    <row r="111" ht="15.75" customHeight="1" s="59"/>
    <row r="112" ht="15.75" customHeight="1" s="59"/>
    <row r="113" ht="15.75" customHeight="1" s="59"/>
    <row r="114" ht="15.75" customHeight="1" s="59"/>
    <row r="115" ht="15.75" customHeight="1" s="59"/>
    <row r="116" ht="15.75" customHeight="1" s="59"/>
    <row r="117" ht="15.75" customHeight="1" s="59"/>
    <row r="118" ht="15.75" customHeight="1" s="59"/>
    <row r="119" ht="15.75" customHeight="1" s="59"/>
    <row r="120" ht="15.75" customHeight="1" s="59"/>
    <row r="121" ht="15.75" customHeight="1" s="59"/>
    <row r="122" ht="15.75" customHeight="1" s="59"/>
    <row r="123" ht="15.75" customHeight="1" s="59"/>
    <row r="124" ht="15.75" customHeight="1" s="59"/>
    <row r="125" ht="15.75" customHeight="1" s="59"/>
    <row r="126" ht="15.75" customHeight="1" s="59"/>
    <row r="127" ht="15.75" customHeight="1" s="59"/>
    <row r="128" ht="15.75" customHeight="1" s="59"/>
    <row r="129" ht="15.75" customHeight="1" s="59"/>
    <row r="130" ht="15.75" customHeight="1" s="59"/>
    <row r="131" ht="15.75" customHeight="1" s="59"/>
    <row r="132" ht="15.75" customHeight="1" s="59"/>
    <row r="133" ht="15.75" customHeight="1" s="59"/>
    <row r="134" ht="15.75" customHeight="1" s="59"/>
    <row r="135" ht="15.75" customHeight="1" s="59"/>
    <row r="136" ht="15.75" customHeight="1" s="59"/>
    <row r="137" ht="15.75" customHeight="1" s="59"/>
    <row r="138" ht="15.75" customHeight="1" s="59"/>
    <row r="139" ht="15.75" customHeight="1" s="59"/>
    <row r="140" ht="15.75" customHeight="1" s="59"/>
    <row r="141" ht="15.75" customHeight="1" s="59"/>
    <row r="142" ht="15.75" customHeight="1" s="59"/>
    <row r="143" ht="15.75" customHeight="1" s="59"/>
    <row r="144" ht="15.75" customHeight="1" s="59"/>
    <row r="145" ht="15.75" customHeight="1" s="59"/>
    <row r="146" ht="15.75" customHeight="1" s="59"/>
    <row r="147" ht="15.75" customHeight="1" s="59"/>
    <row r="148" ht="15.75" customHeight="1" s="59"/>
    <row r="149" ht="15.75" customHeight="1" s="59"/>
    <row r="150" ht="15.75" customHeight="1" s="59"/>
    <row r="151" ht="15.75" customHeight="1" s="59"/>
    <row r="152" ht="15.75" customHeight="1" s="59"/>
    <row r="153" ht="15.75" customHeight="1" s="59"/>
    <row r="154" ht="15.75" customHeight="1" s="59"/>
    <row r="155" ht="15.75" customHeight="1" s="59"/>
    <row r="156" ht="15.75" customHeight="1" s="59"/>
    <row r="157" ht="15.75" customHeight="1" s="59"/>
    <row r="158" ht="15.75" customHeight="1" s="59"/>
    <row r="159" ht="15.75" customHeight="1" s="59"/>
    <row r="160" ht="15.75" customHeight="1" s="59"/>
    <row r="161" ht="15.75" customHeight="1" s="59"/>
    <row r="162" ht="15.75" customHeight="1" s="59"/>
    <row r="163" ht="15.75" customHeight="1" s="59"/>
    <row r="164" ht="15.75" customHeight="1" s="59"/>
    <row r="165" ht="15.75" customHeight="1" s="59"/>
    <row r="166" ht="15.75" customHeight="1" s="59"/>
    <row r="167" ht="15.75" customHeight="1" s="59"/>
    <row r="168" ht="15.75" customHeight="1" s="59"/>
    <row r="169" ht="15.75" customHeight="1" s="59"/>
    <row r="170" ht="15.75" customHeight="1" s="59"/>
    <row r="171" ht="15.75" customHeight="1" s="59"/>
    <row r="172" ht="15.75" customHeight="1" s="59"/>
    <row r="173" ht="15.75" customHeight="1" s="59"/>
    <row r="174" ht="15.75" customHeight="1" s="59"/>
    <row r="175" ht="15.75" customHeight="1" s="59"/>
    <row r="176" ht="15.75" customHeight="1" s="59"/>
    <row r="177" ht="15.75" customHeight="1" s="59"/>
    <row r="178" ht="15.75" customHeight="1" s="59"/>
    <row r="179" ht="15.75" customHeight="1" s="59"/>
    <row r="180" ht="15.75" customHeight="1" s="59"/>
    <row r="181" ht="15.75" customHeight="1" s="59"/>
    <row r="182" ht="15.75" customHeight="1" s="59"/>
    <row r="183" ht="15.75" customHeight="1" s="59"/>
    <row r="184" ht="15.75" customHeight="1" s="59"/>
    <row r="185" ht="15.75" customHeight="1" s="59"/>
    <row r="186" ht="15.75" customHeight="1" s="59"/>
    <row r="187" ht="15.75" customHeight="1" s="59"/>
    <row r="188" ht="15.75" customHeight="1" s="59"/>
    <row r="189" ht="15.75" customHeight="1" s="59"/>
    <row r="190" ht="15.75" customHeight="1" s="59"/>
    <row r="191" ht="15.75" customHeight="1" s="59"/>
    <row r="192" ht="15.75" customHeight="1" s="59"/>
    <row r="193" ht="15.75" customHeight="1" s="59"/>
    <row r="194" ht="15.75" customHeight="1" s="59"/>
    <row r="195" ht="15.75" customHeight="1" s="59"/>
    <row r="196" ht="15.75" customHeight="1" s="59"/>
    <row r="197" ht="15.75" customHeight="1" s="59"/>
    <row r="198" ht="15.75" customHeight="1" s="59"/>
    <row r="199" ht="15.75" customHeight="1" s="59"/>
    <row r="200" ht="15.75" customHeight="1" s="59"/>
    <row r="201" ht="15.75" customHeight="1" s="59"/>
    <row r="202" ht="15.75" customHeight="1" s="59"/>
    <row r="203" ht="15.75" customHeight="1" s="59"/>
    <row r="204" ht="15.75" customHeight="1" s="59"/>
    <row r="205" ht="15.75" customHeight="1" s="59"/>
    <row r="206" ht="15.75" customHeight="1" s="59"/>
    <row r="207" ht="15.75" customHeight="1" s="59"/>
    <row r="208" ht="15.75" customHeight="1" s="59"/>
    <row r="209" ht="15.75" customHeight="1" s="59"/>
    <row r="210" ht="15.75" customHeight="1" s="59"/>
    <row r="211" ht="15.75" customHeight="1" s="59"/>
    <row r="212" ht="15.75" customHeight="1" s="59"/>
    <row r="213" ht="15.75" customHeight="1" s="59"/>
    <row r="214" ht="15.75" customHeight="1" s="59"/>
    <row r="215" ht="15.75" customHeight="1" s="59"/>
    <row r="216" ht="15.75" customHeight="1" s="59"/>
    <row r="217" ht="15.75" customHeight="1" s="59"/>
    <row r="218" ht="15.75" customHeight="1" s="59"/>
    <row r="219" ht="15.75" customHeight="1" s="59"/>
    <row r="220" ht="15.75" customHeight="1" s="59"/>
    <row r="221" ht="15.75" customHeight="1" s="59"/>
    <row r="222" ht="15.75" customHeight="1" s="59"/>
    <row r="223" ht="15.75" customHeight="1" s="59"/>
    <row r="224" ht="15.75" customHeight="1" s="59"/>
    <row r="225" ht="15.75" customHeight="1" s="59"/>
    <row r="226" ht="15.75" customHeight="1" s="59"/>
    <row r="227" ht="15.75" customHeight="1" s="59"/>
    <row r="228" ht="15.75" customHeight="1" s="59"/>
    <row r="229" ht="15.75" customHeight="1" s="59"/>
    <row r="230" ht="15.75" customHeight="1" s="59"/>
    <row r="231" ht="15.75" customHeight="1" s="59"/>
    <row r="232" ht="15.75" customHeight="1" s="59"/>
    <row r="233" ht="15.75" customHeight="1" s="59"/>
    <row r="234" ht="15.75" customHeight="1" s="59"/>
    <row r="235" ht="15.75" customHeight="1" s="59"/>
    <row r="236" ht="15.75" customHeight="1" s="59"/>
    <row r="237" ht="15.75" customHeight="1" s="59"/>
    <row r="238" ht="15.75" customHeight="1" s="59"/>
    <row r="239" ht="15.75" customHeight="1" s="59"/>
    <row r="240" ht="15.75" customHeight="1" s="59"/>
    <row r="241" ht="15.75" customHeight="1" s="59"/>
    <row r="242" ht="15.75" customHeight="1" s="59"/>
    <row r="243" ht="15.75" customHeight="1" s="59"/>
    <row r="244" ht="15.75" customHeight="1" s="59"/>
    <row r="245" ht="15.75" customHeight="1" s="59"/>
    <row r="246" ht="15.75" customHeight="1" s="59"/>
    <row r="247" ht="15.75" customHeight="1" s="59"/>
    <row r="248" ht="15.75" customHeight="1" s="59"/>
    <row r="249" ht="15.75" customHeight="1" s="59"/>
    <row r="250" ht="15.75" customHeight="1" s="59"/>
    <row r="251" ht="15.75" customHeight="1" s="59"/>
    <row r="252" ht="15.75" customHeight="1" s="59"/>
    <row r="253" ht="15.75" customHeight="1" s="59"/>
    <row r="254" ht="15.75" customHeight="1" s="59"/>
    <row r="255" ht="15.75" customHeight="1" s="59"/>
    <row r="256" ht="15.75" customHeight="1" s="59"/>
    <row r="257" ht="15.75" customHeight="1" s="59"/>
    <row r="258" ht="15.75" customHeight="1" s="59"/>
    <row r="259" ht="15.75" customHeight="1" s="59"/>
    <row r="260" ht="15.75" customHeight="1" s="59"/>
    <row r="261" ht="15.75" customHeight="1" s="59"/>
    <row r="262" ht="15.75" customHeight="1" s="59"/>
    <row r="263" ht="15.75" customHeight="1" s="59"/>
    <row r="264" ht="15.75" customHeight="1" s="59"/>
    <row r="265" ht="15.75" customHeight="1" s="59"/>
    <row r="266" ht="15.75" customHeight="1" s="59"/>
    <row r="267" ht="15.75" customHeight="1" s="59"/>
    <row r="268" ht="15.75" customHeight="1" s="59"/>
    <row r="269" ht="15.75" customHeight="1" s="59"/>
    <row r="270" ht="15.75" customHeight="1" s="59"/>
    <row r="271" ht="15.75" customHeight="1" s="59"/>
    <row r="272" ht="15.75" customHeight="1" s="59"/>
    <row r="273" ht="15.75" customHeight="1" s="59"/>
    <row r="274" ht="15.75" customHeight="1" s="59"/>
    <row r="275" ht="15.75" customHeight="1" s="59"/>
    <row r="276" ht="15.75" customHeight="1" s="59"/>
    <row r="277" ht="15.75" customHeight="1" s="59"/>
    <row r="278" ht="15.75" customHeight="1" s="59"/>
    <row r="279" ht="15.75" customHeight="1" s="59"/>
    <row r="280" ht="15.75" customHeight="1" s="59"/>
    <row r="281" ht="15.75" customHeight="1" s="59"/>
    <row r="282" ht="15.75" customHeight="1" s="59"/>
    <row r="283" ht="15.75" customHeight="1" s="59"/>
    <row r="284" ht="15.75" customHeight="1" s="59"/>
    <row r="285" ht="15.75" customHeight="1" s="59"/>
    <row r="286" ht="15.75" customHeight="1" s="59"/>
    <row r="287" ht="15.75" customHeight="1" s="59"/>
    <row r="288" ht="15.75" customHeight="1" s="59"/>
    <row r="289" ht="15.75" customHeight="1" s="59"/>
    <row r="290" ht="15.75" customHeight="1" s="59"/>
    <row r="291" ht="15.75" customHeight="1" s="59"/>
    <row r="292" ht="15.75" customHeight="1" s="59"/>
    <row r="293" ht="15.75" customHeight="1" s="59"/>
    <row r="294" ht="15.75" customHeight="1" s="59"/>
    <row r="295" ht="15.75" customHeight="1" s="59"/>
    <row r="296" ht="15.75" customHeight="1" s="59"/>
    <row r="297" ht="15.75" customHeight="1" s="59"/>
    <row r="298" ht="15.75" customHeight="1" s="59"/>
    <row r="299" ht="15.75" customHeight="1" s="59"/>
    <row r="300" ht="15.75" customHeight="1" s="59"/>
    <row r="301" ht="15.75" customHeight="1" s="59"/>
    <row r="302" ht="15.75" customHeight="1" s="59"/>
    <row r="303" ht="15.75" customHeight="1" s="59"/>
    <row r="304" ht="15.75" customHeight="1" s="59"/>
    <row r="305" ht="15.75" customHeight="1" s="59"/>
    <row r="306" ht="15.75" customHeight="1" s="59"/>
    <row r="307" ht="15.75" customHeight="1" s="59"/>
    <row r="308" ht="15.75" customHeight="1" s="59"/>
    <row r="309" ht="15.75" customHeight="1" s="59"/>
    <row r="310" ht="15.75" customHeight="1" s="59"/>
    <row r="311" ht="15.75" customHeight="1" s="59"/>
    <row r="312" ht="15.75" customHeight="1" s="59"/>
    <row r="313" ht="15.75" customHeight="1" s="59"/>
    <row r="314" ht="15.75" customHeight="1" s="59"/>
    <row r="315" ht="15.75" customHeight="1" s="59"/>
    <row r="316" ht="15.75" customHeight="1" s="59"/>
    <row r="317" ht="15.75" customHeight="1" s="59"/>
    <row r="318" ht="15.75" customHeight="1" s="59"/>
    <row r="319" ht="15.75" customHeight="1" s="59"/>
    <row r="320" ht="15.75" customHeight="1" s="59"/>
    <row r="321" ht="15.75" customHeight="1" s="59"/>
    <row r="322" ht="15.75" customHeight="1" s="59"/>
    <row r="323" ht="15.75" customHeight="1" s="59"/>
    <row r="324" ht="15.75" customHeight="1" s="59"/>
    <row r="325" ht="15.75" customHeight="1" s="59"/>
    <row r="326" ht="15.75" customHeight="1" s="59"/>
    <row r="327" ht="15.75" customHeight="1" s="59"/>
    <row r="328" ht="15.75" customHeight="1" s="59"/>
    <row r="329" ht="15.75" customHeight="1" s="59"/>
    <row r="330" ht="15.75" customHeight="1" s="59"/>
    <row r="331" ht="15.75" customHeight="1" s="59"/>
    <row r="332" ht="15.75" customHeight="1" s="59"/>
    <row r="333" ht="15.75" customHeight="1" s="59"/>
    <row r="334" ht="15.75" customHeight="1" s="59"/>
    <row r="335" ht="15.75" customHeight="1" s="59"/>
    <row r="336" ht="15.75" customHeight="1" s="59"/>
    <row r="337" ht="15.75" customHeight="1" s="59"/>
    <row r="338" ht="15.75" customHeight="1" s="59"/>
    <row r="339" ht="15.75" customHeight="1" s="59"/>
    <row r="340" ht="15.75" customHeight="1" s="59"/>
    <row r="341" ht="15.75" customHeight="1" s="59"/>
    <row r="342" ht="15.75" customHeight="1" s="59"/>
    <row r="343" ht="15.75" customHeight="1" s="59"/>
    <row r="344" ht="15.75" customHeight="1" s="59"/>
    <row r="345" ht="15.75" customHeight="1" s="59"/>
    <row r="346" ht="15.75" customHeight="1" s="59"/>
    <row r="347" ht="15.75" customHeight="1" s="59"/>
    <row r="348" ht="15.75" customHeight="1" s="59"/>
    <row r="349" ht="15.75" customHeight="1" s="59"/>
    <row r="350" ht="15.75" customHeight="1" s="59"/>
    <row r="351" ht="15.75" customHeight="1" s="59"/>
    <row r="352" ht="15.75" customHeight="1" s="59"/>
    <row r="353" ht="15.75" customHeight="1" s="59"/>
    <row r="354" ht="15.75" customHeight="1" s="59"/>
    <row r="355" ht="15.75" customHeight="1" s="59"/>
    <row r="356" ht="15.75" customHeight="1" s="59"/>
    <row r="357" ht="15.75" customHeight="1" s="59"/>
    <row r="358" ht="15.75" customHeight="1" s="59"/>
    <row r="359" ht="15.75" customHeight="1" s="59"/>
    <row r="360" ht="15.75" customHeight="1" s="59"/>
    <row r="361" ht="15.75" customHeight="1" s="59"/>
    <row r="362" ht="15.75" customHeight="1" s="59"/>
    <row r="363" ht="15.75" customHeight="1" s="59"/>
    <row r="364" ht="15.75" customHeight="1" s="59"/>
    <row r="365" ht="15.75" customHeight="1" s="59"/>
    <row r="366" ht="15.75" customHeight="1" s="59"/>
    <row r="367" ht="15.75" customHeight="1" s="59"/>
    <row r="368" ht="15.75" customHeight="1" s="59"/>
    <row r="369" ht="15.75" customHeight="1" s="59"/>
    <row r="370" ht="15.75" customHeight="1" s="59"/>
    <row r="371" ht="15.75" customHeight="1" s="59"/>
    <row r="372" ht="15.75" customHeight="1" s="59"/>
    <row r="373" ht="15.75" customHeight="1" s="59"/>
    <row r="374" ht="15.75" customHeight="1" s="59"/>
    <row r="375" ht="15.75" customHeight="1" s="59"/>
    <row r="376" ht="15.75" customHeight="1" s="59"/>
    <row r="377" ht="15.75" customHeight="1" s="59"/>
    <row r="378" ht="15.75" customHeight="1" s="59"/>
    <row r="379" ht="15.75" customHeight="1" s="59"/>
    <row r="380" ht="15.75" customHeight="1" s="59"/>
    <row r="381" ht="15.75" customHeight="1" s="59"/>
    <row r="382" ht="15.75" customHeight="1" s="59"/>
    <row r="383" ht="15.75" customHeight="1" s="59"/>
    <row r="384" ht="15.75" customHeight="1" s="59"/>
    <row r="385" ht="15.75" customHeight="1" s="59"/>
    <row r="386" ht="15.75" customHeight="1" s="59"/>
    <row r="387" ht="15.75" customHeight="1" s="59"/>
    <row r="388" ht="15.75" customHeight="1" s="59"/>
    <row r="389" ht="15.75" customHeight="1" s="59"/>
    <row r="390" ht="15.75" customHeight="1" s="59"/>
    <row r="391" ht="15.75" customHeight="1" s="59"/>
    <row r="392" ht="15.75" customHeight="1" s="59"/>
    <row r="393" ht="15.75" customHeight="1" s="59"/>
    <row r="394" ht="15.75" customHeight="1" s="59"/>
    <row r="395" ht="15.75" customHeight="1" s="59"/>
    <row r="396" ht="15.75" customHeight="1" s="59"/>
    <row r="397" ht="15.75" customHeight="1" s="59"/>
    <row r="398" ht="15.75" customHeight="1" s="59"/>
    <row r="399" ht="15.75" customHeight="1" s="59"/>
    <row r="400" ht="15.75" customHeight="1" s="59"/>
    <row r="401" ht="15.75" customHeight="1" s="59"/>
    <row r="402" ht="15.75" customHeight="1" s="59"/>
    <row r="403" ht="15.75" customHeight="1" s="59"/>
    <row r="404" ht="15.75" customHeight="1" s="59"/>
    <row r="405" ht="15.75" customHeight="1" s="59"/>
    <row r="406" ht="15.75" customHeight="1" s="59"/>
    <row r="407" ht="15.75" customHeight="1" s="59"/>
    <row r="408" ht="15.75" customHeight="1" s="59"/>
    <row r="409" ht="15.75" customHeight="1" s="59"/>
    <row r="410" ht="15.75" customHeight="1" s="59"/>
    <row r="411" ht="15.75" customHeight="1" s="59"/>
    <row r="412" ht="15.75" customHeight="1" s="59"/>
    <row r="413" ht="15.75" customHeight="1" s="59"/>
    <row r="414" ht="15.75" customHeight="1" s="59"/>
    <row r="415" ht="15.75" customHeight="1" s="59"/>
    <row r="416" ht="15.75" customHeight="1" s="59"/>
    <row r="417" ht="15.75" customHeight="1" s="59"/>
    <row r="418" ht="15.75" customHeight="1" s="59"/>
    <row r="419" ht="15.75" customHeight="1" s="59"/>
    <row r="420" ht="15.75" customHeight="1" s="59"/>
    <row r="421" ht="15.75" customHeight="1" s="59"/>
    <row r="422" ht="15.75" customHeight="1" s="59"/>
    <row r="423" ht="15.75" customHeight="1" s="59"/>
    <row r="424" ht="15.75" customHeight="1" s="59"/>
    <row r="425" ht="15.75" customHeight="1" s="59"/>
    <row r="426" ht="15.75" customHeight="1" s="59"/>
    <row r="427" ht="15.75" customHeight="1" s="59"/>
    <row r="428" ht="15.75" customHeight="1" s="59"/>
    <row r="429" ht="15.75" customHeight="1" s="59"/>
    <row r="430" ht="15.75" customHeight="1" s="59"/>
    <row r="431" ht="15.75" customHeight="1" s="59"/>
    <row r="432" ht="15.75" customHeight="1" s="59"/>
    <row r="433" ht="15.75" customHeight="1" s="59"/>
    <row r="434" ht="15.75" customHeight="1" s="59"/>
    <row r="435" ht="15.75" customHeight="1" s="59"/>
    <row r="436" ht="15.75" customHeight="1" s="59"/>
    <row r="437" ht="15.75" customHeight="1" s="59"/>
    <row r="438" ht="15.75" customHeight="1" s="59"/>
    <row r="439" ht="15.75" customHeight="1" s="59"/>
    <row r="440" ht="15.75" customHeight="1" s="59"/>
    <row r="441" ht="15.75" customHeight="1" s="59"/>
    <row r="442" ht="15.75" customHeight="1" s="59"/>
    <row r="443" ht="15.75" customHeight="1" s="59"/>
    <row r="444" ht="15.75" customHeight="1" s="59"/>
    <row r="445" ht="15.75" customHeight="1" s="59"/>
    <row r="446" ht="15.75" customHeight="1" s="59"/>
    <row r="447" ht="15.75" customHeight="1" s="59"/>
    <row r="448" ht="15.75" customHeight="1" s="59"/>
    <row r="449" ht="15.75" customHeight="1" s="59"/>
    <row r="450" ht="15.75" customHeight="1" s="59"/>
    <row r="451" ht="15.75" customHeight="1" s="59"/>
    <row r="452" ht="15.75" customHeight="1" s="59"/>
    <row r="453" ht="15.75" customHeight="1" s="59"/>
    <row r="454" ht="15.75" customHeight="1" s="59"/>
    <row r="455" ht="15.75" customHeight="1" s="59"/>
    <row r="456" ht="15.75" customHeight="1" s="59"/>
    <row r="457" ht="15.75" customHeight="1" s="59"/>
    <row r="458" ht="15.75" customHeight="1" s="59"/>
    <row r="459" ht="15.75" customHeight="1" s="59"/>
    <row r="460" ht="15.75" customHeight="1" s="59"/>
    <row r="461" ht="15.75" customHeight="1" s="59"/>
    <row r="462" ht="15.75" customHeight="1" s="59"/>
    <row r="463" ht="15.75" customHeight="1" s="59"/>
    <row r="464" ht="15.75" customHeight="1" s="59"/>
    <row r="465" ht="15.75" customHeight="1" s="59"/>
    <row r="466" ht="15.75" customHeight="1" s="59"/>
    <row r="467" ht="15.75" customHeight="1" s="59"/>
    <row r="468" ht="15.75" customHeight="1" s="59"/>
    <row r="469" ht="15.75" customHeight="1" s="59"/>
    <row r="470" ht="15.75" customHeight="1" s="59"/>
    <row r="471" ht="15.75" customHeight="1" s="59"/>
    <row r="472" ht="15.75" customHeight="1" s="59"/>
    <row r="473" ht="15.75" customHeight="1" s="59"/>
    <row r="474" ht="15.75" customHeight="1" s="59"/>
    <row r="475" ht="15.75" customHeight="1" s="59"/>
    <row r="476" ht="15.75" customHeight="1" s="59"/>
    <row r="477" ht="15.75" customHeight="1" s="59"/>
    <row r="478" ht="15.75" customHeight="1" s="59"/>
    <row r="479" ht="15.75" customHeight="1" s="59"/>
    <row r="480" ht="15.75" customHeight="1" s="59"/>
    <row r="481" ht="15.75" customHeight="1" s="59"/>
    <row r="482" ht="15.75" customHeight="1" s="59"/>
    <row r="483" ht="15.75" customHeight="1" s="59"/>
    <row r="484" ht="15.75" customHeight="1" s="59"/>
    <row r="485" ht="15.75" customHeight="1" s="59"/>
    <row r="486" ht="15.75" customHeight="1" s="59"/>
    <row r="487" ht="15.75" customHeight="1" s="59"/>
    <row r="488" ht="15.75" customHeight="1" s="59"/>
    <row r="489" ht="15.75" customHeight="1" s="59"/>
    <row r="490" ht="15.75" customHeight="1" s="59"/>
    <row r="491" ht="15.75" customHeight="1" s="59"/>
    <row r="492" ht="15.75" customHeight="1" s="59"/>
    <row r="493" ht="15.75" customHeight="1" s="59"/>
    <row r="494" ht="15.75" customHeight="1" s="59"/>
    <row r="495" ht="15.75" customHeight="1" s="59"/>
    <row r="496" ht="15.75" customHeight="1" s="59"/>
    <row r="497" ht="15.75" customHeight="1" s="59"/>
    <row r="498" ht="15.75" customHeight="1" s="59"/>
    <row r="499" ht="15.75" customHeight="1" s="59"/>
    <row r="500" ht="15.75" customHeight="1" s="59"/>
    <row r="501" ht="15.75" customHeight="1" s="59"/>
    <row r="502" ht="15.75" customHeight="1" s="59"/>
    <row r="503" ht="15.75" customHeight="1" s="59"/>
    <row r="504" ht="15.75" customHeight="1" s="59"/>
    <row r="505" ht="15.75" customHeight="1" s="59"/>
    <row r="506" ht="15.75" customHeight="1" s="59"/>
    <row r="507" ht="15.75" customHeight="1" s="59"/>
    <row r="508" ht="15.75" customHeight="1" s="59"/>
    <row r="509" ht="15.75" customHeight="1" s="59"/>
    <row r="510" ht="15.75" customHeight="1" s="59"/>
    <row r="511" ht="15.75" customHeight="1" s="59"/>
    <row r="512" ht="15.75" customHeight="1" s="59"/>
    <row r="513" ht="15.75" customHeight="1" s="59"/>
    <row r="514" ht="15.75" customHeight="1" s="59"/>
    <row r="515" ht="15.75" customHeight="1" s="59"/>
    <row r="516" ht="15.75" customHeight="1" s="59"/>
    <row r="517" ht="15.75" customHeight="1" s="59"/>
    <row r="518" ht="15.75" customHeight="1" s="59"/>
    <row r="519" ht="15.75" customHeight="1" s="59"/>
    <row r="520" ht="15.75" customHeight="1" s="59"/>
    <row r="521" ht="15.75" customHeight="1" s="59"/>
    <row r="522" ht="15.75" customHeight="1" s="59"/>
    <row r="523" ht="15.75" customHeight="1" s="59"/>
    <row r="524" ht="15.75" customHeight="1" s="59"/>
    <row r="525" ht="15.75" customHeight="1" s="59"/>
    <row r="526" ht="15.75" customHeight="1" s="59"/>
    <row r="527" ht="15.75" customHeight="1" s="59"/>
    <row r="528" ht="15.75" customHeight="1" s="59"/>
    <row r="529" ht="15.75" customHeight="1" s="59"/>
    <row r="530" ht="15.75" customHeight="1" s="59"/>
    <row r="531" ht="15.75" customHeight="1" s="59"/>
    <row r="532" ht="15.75" customHeight="1" s="59"/>
    <row r="533" ht="15.75" customHeight="1" s="59"/>
    <row r="534" ht="15.75" customHeight="1" s="59"/>
    <row r="535" ht="15.75" customHeight="1" s="59"/>
    <row r="536" ht="15.75" customHeight="1" s="59"/>
    <row r="537" ht="15.75" customHeight="1" s="59"/>
    <row r="538" ht="15.75" customHeight="1" s="59"/>
    <row r="539" ht="15.75" customHeight="1" s="59"/>
    <row r="540" ht="15.75" customHeight="1" s="59"/>
    <row r="541" ht="15.75" customHeight="1" s="59"/>
    <row r="542" ht="15.75" customHeight="1" s="59"/>
    <row r="543" ht="15.75" customHeight="1" s="59"/>
    <row r="544" ht="15.75" customHeight="1" s="59"/>
    <row r="545" ht="15.75" customHeight="1" s="59"/>
    <row r="546" ht="15.75" customHeight="1" s="59"/>
    <row r="547" ht="15.75" customHeight="1" s="59"/>
    <row r="548" ht="15.75" customHeight="1" s="59"/>
    <row r="549" ht="15.75" customHeight="1" s="59"/>
    <row r="550" ht="15.75" customHeight="1" s="59"/>
    <row r="551" ht="15.75" customHeight="1" s="59"/>
    <row r="552" ht="15.75" customHeight="1" s="59"/>
    <row r="553" ht="15.75" customHeight="1" s="59"/>
    <row r="554" ht="15.75" customHeight="1" s="59"/>
    <row r="555" ht="15.75" customHeight="1" s="59"/>
    <row r="556" ht="15.75" customHeight="1" s="59"/>
    <row r="557" ht="15.75" customHeight="1" s="59"/>
    <row r="558" ht="15.75" customHeight="1" s="59"/>
    <row r="559" ht="15.75" customHeight="1" s="59"/>
    <row r="560" ht="15.75" customHeight="1" s="59"/>
    <row r="561" ht="15.75" customHeight="1" s="59"/>
    <row r="562" ht="15.75" customHeight="1" s="59"/>
    <row r="563" ht="15.75" customHeight="1" s="59"/>
    <row r="564" ht="15.75" customHeight="1" s="59"/>
    <row r="565" ht="15.75" customHeight="1" s="59"/>
    <row r="566" ht="15.75" customHeight="1" s="59"/>
    <row r="567" ht="15.75" customHeight="1" s="59"/>
    <row r="568" ht="15.75" customHeight="1" s="59"/>
    <row r="569" ht="15.75" customHeight="1" s="59"/>
    <row r="570" ht="15.75" customHeight="1" s="59"/>
    <row r="571" ht="15.75" customHeight="1" s="59"/>
    <row r="572" ht="15.75" customHeight="1" s="59"/>
    <row r="573" ht="15.75" customHeight="1" s="59"/>
    <row r="574" ht="15.75" customHeight="1" s="59"/>
    <row r="575" ht="15.75" customHeight="1" s="59"/>
    <row r="576" ht="15.75" customHeight="1" s="59"/>
    <row r="577" ht="15.75" customHeight="1" s="59"/>
    <row r="578" ht="15.75" customHeight="1" s="59"/>
    <row r="579" ht="15.75" customHeight="1" s="59"/>
    <row r="580" ht="15.75" customHeight="1" s="59"/>
    <row r="581" ht="15.75" customHeight="1" s="59"/>
    <row r="582" ht="15.75" customHeight="1" s="59"/>
    <row r="583" ht="15.75" customHeight="1" s="59"/>
    <row r="584" ht="15.75" customHeight="1" s="59"/>
    <row r="585" ht="15.75" customHeight="1" s="59"/>
    <row r="586" ht="15.75" customHeight="1" s="59"/>
    <row r="587" ht="15.75" customHeight="1" s="59"/>
    <row r="588" ht="15.75" customHeight="1" s="59"/>
    <row r="589" ht="15.75" customHeight="1" s="59"/>
    <row r="590" ht="15.75" customHeight="1" s="59"/>
    <row r="591" ht="15.75" customHeight="1" s="59"/>
    <row r="592" ht="15.75" customHeight="1" s="59"/>
    <row r="593" ht="15.75" customHeight="1" s="59"/>
    <row r="594" ht="15.75" customHeight="1" s="59"/>
    <row r="595" ht="15.75" customHeight="1" s="59"/>
    <row r="596" ht="15.75" customHeight="1" s="59"/>
    <row r="597" ht="15.75" customHeight="1" s="59"/>
    <row r="598" ht="15.75" customHeight="1" s="59"/>
    <row r="599" ht="15.75" customHeight="1" s="59"/>
    <row r="600" ht="15.75" customHeight="1" s="59"/>
    <row r="601" ht="15.75" customHeight="1" s="59"/>
    <row r="602" ht="15.75" customHeight="1" s="59"/>
    <row r="603" ht="15.75" customHeight="1" s="59"/>
    <row r="604" ht="15.75" customHeight="1" s="59"/>
    <row r="605" ht="15.75" customHeight="1" s="59"/>
    <row r="606" ht="15.75" customHeight="1" s="59"/>
    <row r="607" ht="15.75" customHeight="1" s="59"/>
    <row r="608" ht="15.75" customHeight="1" s="59"/>
    <row r="609" ht="15.75" customHeight="1" s="59"/>
    <row r="610" ht="15.75" customHeight="1" s="59"/>
    <row r="611" ht="15.75" customHeight="1" s="59"/>
    <row r="612" ht="15.75" customHeight="1" s="59"/>
    <row r="613" ht="15.75" customHeight="1" s="59"/>
    <row r="614" ht="15.75" customHeight="1" s="59"/>
    <row r="615" ht="15.75" customHeight="1" s="59"/>
    <row r="616" ht="15.75" customHeight="1" s="59"/>
    <row r="617" ht="15.75" customHeight="1" s="59"/>
    <row r="618" ht="15.75" customHeight="1" s="59"/>
    <row r="619" ht="15.75" customHeight="1" s="59"/>
    <row r="620" ht="15.75" customHeight="1" s="59"/>
    <row r="621" ht="15.75" customHeight="1" s="59"/>
    <row r="622" ht="15.75" customHeight="1" s="59"/>
    <row r="623" ht="15.75" customHeight="1" s="59"/>
    <row r="624" ht="15.75" customHeight="1" s="59"/>
    <row r="625" ht="15.75" customHeight="1" s="59"/>
    <row r="626" ht="15.75" customHeight="1" s="59"/>
    <row r="627" ht="15.75" customHeight="1" s="59"/>
    <row r="628" ht="15.75" customHeight="1" s="59"/>
    <row r="629" ht="15.75" customHeight="1" s="59"/>
    <row r="630" ht="15.75" customHeight="1" s="59"/>
    <row r="631" ht="15.75" customHeight="1" s="59"/>
    <row r="632" ht="15.75" customHeight="1" s="59"/>
    <row r="633" ht="15.75" customHeight="1" s="59"/>
    <row r="634" ht="15.75" customHeight="1" s="59"/>
    <row r="635" ht="15.75" customHeight="1" s="59"/>
    <row r="636" ht="15.75" customHeight="1" s="59"/>
    <row r="637" ht="15.75" customHeight="1" s="59"/>
    <row r="638" ht="15.75" customHeight="1" s="59"/>
    <row r="639" ht="15.75" customHeight="1" s="59"/>
    <row r="640" ht="15.75" customHeight="1" s="59"/>
    <row r="641" ht="15.75" customHeight="1" s="59"/>
    <row r="642" ht="15.75" customHeight="1" s="59"/>
    <row r="643" ht="15.75" customHeight="1" s="59"/>
    <row r="644" ht="15.75" customHeight="1" s="59"/>
    <row r="645" ht="15.75" customHeight="1" s="59"/>
    <row r="646" ht="15.75" customHeight="1" s="59"/>
    <row r="647" ht="15.75" customHeight="1" s="59"/>
    <row r="648" ht="15.75" customHeight="1" s="59"/>
    <row r="649" ht="15.75" customHeight="1" s="59"/>
    <row r="650" ht="15.75" customHeight="1" s="59"/>
    <row r="651" ht="15.75" customHeight="1" s="59"/>
    <row r="652" ht="15.75" customHeight="1" s="59"/>
    <row r="653" ht="15.75" customHeight="1" s="59"/>
    <row r="654" ht="15.75" customHeight="1" s="59"/>
    <row r="655" ht="15.75" customHeight="1" s="59"/>
    <row r="656" ht="15.75" customHeight="1" s="59"/>
    <row r="657" ht="15.75" customHeight="1" s="59"/>
    <row r="658" ht="15.75" customHeight="1" s="59"/>
    <row r="659" ht="15.75" customHeight="1" s="59"/>
    <row r="660" ht="15.75" customHeight="1" s="59"/>
    <row r="661" ht="15.75" customHeight="1" s="59"/>
    <row r="662" ht="15.75" customHeight="1" s="59"/>
    <row r="663" ht="15.75" customHeight="1" s="59"/>
    <row r="664" ht="15.75" customHeight="1" s="59"/>
    <row r="665" ht="15.75" customHeight="1" s="59"/>
    <row r="666" ht="15.75" customHeight="1" s="59"/>
    <row r="667" ht="15.75" customHeight="1" s="59"/>
    <row r="668" ht="15.75" customHeight="1" s="59"/>
    <row r="669" ht="15.75" customHeight="1" s="59"/>
    <row r="670" ht="15.75" customHeight="1" s="59"/>
    <row r="671" ht="15.75" customHeight="1" s="59"/>
    <row r="672" ht="15.75" customHeight="1" s="59"/>
    <row r="673" ht="15.75" customHeight="1" s="59"/>
    <row r="674" ht="15.75" customHeight="1" s="59"/>
    <row r="675" ht="15.75" customHeight="1" s="59"/>
    <row r="676" ht="15.75" customHeight="1" s="59"/>
    <row r="677" ht="15.75" customHeight="1" s="59"/>
    <row r="678" ht="15.75" customHeight="1" s="59"/>
    <row r="679" ht="15.75" customHeight="1" s="59"/>
    <row r="680" ht="15.75" customHeight="1" s="59"/>
    <row r="681" ht="15.75" customHeight="1" s="59"/>
    <row r="682" ht="15.75" customHeight="1" s="59"/>
    <row r="683" ht="15.75" customHeight="1" s="59"/>
    <row r="684" ht="15.75" customHeight="1" s="59"/>
    <row r="685" ht="15.75" customHeight="1" s="59"/>
    <row r="686" ht="15.75" customHeight="1" s="59"/>
    <row r="687" ht="15.75" customHeight="1" s="59"/>
    <row r="688" ht="15.75" customHeight="1" s="59"/>
    <row r="689" ht="15.75" customHeight="1" s="59"/>
    <row r="690" ht="15.75" customHeight="1" s="59"/>
    <row r="691" ht="15.75" customHeight="1" s="59"/>
    <row r="692" ht="15.75" customHeight="1" s="59"/>
    <row r="693" ht="15.75" customHeight="1" s="59"/>
    <row r="694" ht="15.75" customHeight="1" s="59"/>
    <row r="695" ht="15.75" customHeight="1" s="59"/>
    <row r="696" ht="15.75" customHeight="1" s="59"/>
    <row r="697" ht="15.75" customHeight="1" s="59"/>
    <row r="698" ht="15.75" customHeight="1" s="59"/>
    <row r="699" ht="15.75" customHeight="1" s="59"/>
    <row r="700" ht="15.75" customHeight="1" s="59"/>
    <row r="701" ht="15.75" customHeight="1" s="59"/>
    <row r="702" ht="15.75" customHeight="1" s="59"/>
    <row r="703" ht="15.75" customHeight="1" s="59"/>
    <row r="704" ht="15.75" customHeight="1" s="59"/>
    <row r="705" ht="15.75" customHeight="1" s="59"/>
    <row r="706" ht="15.75" customHeight="1" s="59"/>
    <row r="707" ht="15.75" customHeight="1" s="59"/>
    <row r="708" ht="15.75" customHeight="1" s="59"/>
    <row r="709" ht="15.75" customHeight="1" s="59"/>
    <row r="710" ht="15.75" customHeight="1" s="59"/>
    <row r="711" ht="15.75" customHeight="1" s="59"/>
    <row r="712" ht="15.75" customHeight="1" s="59"/>
    <row r="713" ht="15.75" customHeight="1" s="59"/>
    <row r="714" ht="15.75" customHeight="1" s="59"/>
    <row r="715" ht="15.75" customHeight="1" s="59"/>
    <row r="716" ht="15.75" customHeight="1" s="59"/>
    <row r="717" ht="15.75" customHeight="1" s="59"/>
    <row r="718" ht="15.75" customHeight="1" s="59"/>
    <row r="719" ht="15.75" customHeight="1" s="59"/>
    <row r="720" ht="15.75" customHeight="1" s="59"/>
    <row r="721" ht="15.75" customHeight="1" s="59"/>
    <row r="722" ht="15.75" customHeight="1" s="59"/>
    <row r="723" ht="15.75" customHeight="1" s="59"/>
    <row r="724" ht="15.75" customHeight="1" s="59"/>
    <row r="725" ht="15.75" customHeight="1" s="59"/>
    <row r="726" ht="15.75" customHeight="1" s="59"/>
    <row r="727" ht="15.75" customHeight="1" s="59"/>
    <row r="728" ht="15.75" customHeight="1" s="59"/>
    <row r="729" ht="15.75" customHeight="1" s="59"/>
    <row r="730" ht="15.75" customHeight="1" s="59"/>
    <row r="731" ht="15.75" customHeight="1" s="59"/>
    <row r="732" ht="15.75" customHeight="1" s="59"/>
    <row r="733" ht="15.75" customHeight="1" s="59"/>
    <row r="734" ht="15.75" customHeight="1" s="59"/>
    <row r="735" ht="15.75" customHeight="1" s="59"/>
    <row r="736" ht="15.75" customHeight="1" s="59"/>
    <row r="737" ht="15.75" customHeight="1" s="59"/>
    <row r="738" ht="15.75" customHeight="1" s="59"/>
    <row r="739" ht="15.75" customHeight="1" s="59"/>
    <row r="740" ht="15.75" customHeight="1" s="59"/>
    <row r="741" ht="15.75" customHeight="1" s="59"/>
    <row r="742" ht="15.75" customHeight="1" s="59"/>
    <row r="743" ht="15.75" customHeight="1" s="59"/>
    <row r="744" ht="15.75" customHeight="1" s="59"/>
    <row r="745" ht="15.75" customHeight="1" s="59"/>
    <row r="746" ht="15.75" customHeight="1" s="59"/>
    <row r="747" ht="15.75" customHeight="1" s="59"/>
    <row r="748" ht="15.75" customHeight="1" s="59"/>
    <row r="749" ht="15.75" customHeight="1" s="59"/>
    <row r="750" ht="15.75" customHeight="1" s="59"/>
    <row r="751" ht="15.75" customHeight="1" s="59"/>
    <row r="752" ht="15.75" customHeight="1" s="59"/>
    <row r="753" ht="15.75" customHeight="1" s="59"/>
    <row r="754" ht="15.75" customHeight="1" s="59"/>
    <row r="755" ht="15.75" customHeight="1" s="59"/>
    <row r="756" ht="15.75" customHeight="1" s="59"/>
    <row r="757" ht="15.75" customHeight="1" s="59"/>
    <row r="758" ht="15.75" customHeight="1" s="59"/>
    <row r="759" ht="15.75" customHeight="1" s="59"/>
    <row r="760" ht="15.75" customHeight="1" s="59"/>
    <row r="761" ht="15.75" customHeight="1" s="59"/>
    <row r="762" ht="15.75" customHeight="1" s="59"/>
    <row r="763" ht="15.75" customHeight="1" s="59"/>
    <row r="764" ht="15.75" customHeight="1" s="59"/>
    <row r="765" ht="15.75" customHeight="1" s="59"/>
    <row r="766" ht="15.75" customHeight="1" s="59"/>
    <row r="767" ht="15.75" customHeight="1" s="59"/>
    <row r="768" ht="15.75" customHeight="1" s="59"/>
    <row r="769" ht="15.75" customHeight="1" s="59"/>
    <row r="770" ht="15.75" customHeight="1" s="59"/>
    <row r="771" ht="15.75" customHeight="1" s="59"/>
    <row r="772" ht="15.75" customHeight="1" s="59"/>
    <row r="773" ht="15.75" customHeight="1" s="59"/>
    <row r="774" ht="15.75" customHeight="1" s="59"/>
    <row r="775" ht="15.75" customHeight="1" s="59"/>
    <row r="776" ht="15.75" customHeight="1" s="59"/>
    <row r="777" ht="15.75" customHeight="1" s="59"/>
    <row r="778" ht="15.75" customHeight="1" s="59"/>
    <row r="779" ht="15.75" customHeight="1" s="59"/>
    <row r="780" ht="15.75" customHeight="1" s="59"/>
    <row r="781" ht="15.75" customHeight="1" s="59"/>
    <row r="782" ht="15.75" customHeight="1" s="59"/>
    <row r="783" ht="15.75" customHeight="1" s="59"/>
    <row r="784" ht="15.75" customHeight="1" s="59"/>
    <row r="785" ht="15.75" customHeight="1" s="59"/>
    <row r="786" ht="15.75" customHeight="1" s="59"/>
    <row r="787" ht="15.75" customHeight="1" s="59"/>
    <row r="788" ht="15.75" customHeight="1" s="59"/>
    <row r="789" ht="15.75" customHeight="1" s="59"/>
    <row r="790" ht="15.75" customHeight="1" s="59"/>
    <row r="791" ht="15.75" customHeight="1" s="59"/>
    <row r="792" ht="15.75" customHeight="1" s="59"/>
    <row r="793" ht="15.75" customHeight="1" s="59"/>
    <row r="794" ht="15.75" customHeight="1" s="59"/>
    <row r="795" ht="15.75" customHeight="1" s="59"/>
    <row r="796" ht="15.75" customHeight="1" s="59"/>
    <row r="797" ht="15.75" customHeight="1" s="59"/>
    <row r="798" ht="15.75" customHeight="1" s="59"/>
    <row r="799" ht="15.75" customHeight="1" s="59"/>
    <row r="800" ht="15.75" customHeight="1" s="59"/>
    <row r="801" ht="15.75" customHeight="1" s="59"/>
    <row r="802" ht="15.75" customHeight="1" s="59"/>
    <row r="803" ht="15.75" customHeight="1" s="59"/>
    <row r="804" ht="15.75" customHeight="1" s="59"/>
    <row r="805" ht="15.75" customHeight="1" s="59"/>
    <row r="806" ht="15.75" customHeight="1" s="59"/>
    <row r="807" ht="15.75" customHeight="1" s="59"/>
    <row r="808" ht="15.75" customHeight="1" s="59"/>
    <row r="809" ht="15.75" customHeight="1" s="59"/>
    <row r="810" ht="15.75" customHeight="1" s="59"/>
    <row r="811" ht="15.75" customHeight="1" s="59"/>
    <row r="812" ht="15.75" customHeight="1" s="59"/>
    <row r="813" ht="15.75" customHeight="1" s="59"/>
    <row r="814" ht="15.75" customHeight="1" s="59"/>
    <row r="815" ht="15.75" customHeight="1" s="59"/>
    <row r="816" ht="15.75" customHeight="1" s="59"/>
    <row r="817" ht="15.75" customHeight="1" s="59"/>
    <row r="818" ht="15.75" customHeight="1" s="59"/>
    <row r="819" ht="15.75" customHeight="1" s="59"/>
    <row r="820" ht="15.75" customHeight="1" s="59"/>
    <row r="821" ht="15.75" customHeight="1" s="59"/>
    <row r="822" ht="15.75" customHeight="1" s="59"/>
    <row r="823" ht="15.75" customHeight="1" s="59"/>
    <row r="824" ht="15.75" customHeight="1" s="59"/>
    <row r="825" ht="15.75" customHeight="1" s="59"/>
    <row r="826" ht="15.75" customHeight="1" s="59"/>
    <row r="827" ht="15.75" customHeight="1" s="59"/>
    <row r="828" ht="15.75" customHeight="1" s="59"/>
    <row r="829" ht="15.75" customHeight="1" s="59"/>
    <row r="830" ht="15.75" customHeight="1" s="59"/>
    <row r="831" ht="15.75" customHeight="1" s="59"/>
    <row r="832" ht="15.75" customHeight="1" s="59"/>
    <row r="833" ht="15.75" customHeight="1" s="59"/>
    <row r="834" ht="15.75" customHeight="1" s="59"/>
    <row r="835" ht="15.75" customHeight="1" s="59"/>
    <row r="836" ht="15.75" customHeight="1" s="59"/>
    <row r="837" ht="15.75" customHeight="1" s="59"/>
    <row r="838" ht="15.75" customHeight="1" s="59"/>
    <row r="839" ht="15.75" customHeight="1" s="59"/>
    <row r="840" ht="15.75" customHeight="1" s="59"/>
    <row r="841" ht="15.75" customHeight="1" s="59"/>
    <row r="842" ht="15.75" customHeight="1" s="59"/>
    <row r="843" ht="15.75" customHeight="1" s="59"/>
    <row r="844" ht="15.75" customHeight="1" s="59"/>
    <row r="845" ht="15.75" customHeight="1" s="59"/>
    <row r="846" ht="15.75" customHeight="1" s="59"/>
    <row r="847" ht="15.75" customHeight="1" s="59"/>
    <row r="848" ht="15.75" customHeight="1" s="59"/>
    <row r="849" ht="15.75" customHeight="1" s="59"/>
    <row r="850" ht="15.75" customHeight="1" s="59"/>
    <row r="851" ht="15.75" customHeight="1" s="59"/>
    <row r="852" ht="15.75" customHeight="1" s="59"/>
    <row r="853" ht="15.75" customHeight="1" s="59"/>
    <row r="854" ht="15.75" customHeight="1" s="59"/>
    <row r="855" ht="15.75" customHeight="1" s="59"/>
    <row r="856" ht="15.75" customHeight="1" s="59"/>
    <row r="857" ht="15.75" customHeight="1" s="59"/>
    <row r="858" ht="15.75" customHeight="1" s="59"/>
    <row r="859" ht="15.75" customHeight="1" s="59"/>
    <row r="860" ht="15.75" customHeight="1" s="59"/>
    <row r="861" ht="15.75" customHeight="1" s="59"/>
    <row r="862" ht="15.75" customHeight="1" s="59"/>
    <row r="863" ht="15.75" customHeight="1" s="59"/>
    <row r="864" ht="15.75" customHeight="1" s="59"/>
    <row r="865" ht="15.75" customHeight="1" s="59"/>
    <row r="866" ht="15.75" customHeight="1" s="59"/>
    <row r="867" ht="15.75" customHeight="1" s="59"/>
    <row r="868" ht="15.75" customHeight="1" s="59"/>
    <row r="869" ht="15.75" customHeight="1" s="59"/>
    <row r="870" ht="15.75" customHeight="1" s="59"/>
    <row r="871" ht="15.75" customHeight="1" s="59"/>
    <row r="872" ht="15.75" customHeight="1" s="59"/>
    <row r="873" ht="15.75" customHeight="1" s="59"/>
    <row r="874" ht="15.75" customHeight="1" s="59"/>
    <row r="875" ht="15.75" customHeight="1" s="59"/>
    <row r="876" ht="15.75" customHeight="1" s="59"/>
    <row r="877" ht="15.75" customHeight="1" s="59"/>
    <row r="878" ht="15.75" customHeight="1" s="59"/>
    <row r="879" ht="15.75" customHeight="1" s="59"/>
    <row r="880" ht="15.75" customHeight="1" s="59"/>
    <row r="881" ht="15.75" customHeight="1" s="59"/>
    <row r="882" ht="15.75" customHeight="1" s="59"/>
    <row r="883" ht="15.75" customHeight="1" s="59"/>
    <row r="884" ht="15.75" customHeight="1" s="59"/>
    <row r="885" ht="15.75" customHeight="1" s="59"/>
    <row r="886" ht="15.75" customHeight="1" s="59"/>
    <row r="887" ht="15.75" customHeight="1" s="59"/>
    <row r="888" ht="15.75" customHeight="1" s="59"/>
    <row r="889" ht="15.75" customHeight="1" s="59"/>
    <row r="890" ht="15.75" customHeight="1" s="59"/>
    <row r="891" ht="15.75" customHeight="1" s="59"/>
    <row r="892" ht="15.75" customHeight="1" s="59"/>
    <row r="893" ht="15.75" customHeight="1" s="59"/>
    <row r="894" ht="15.75" customHeight="1" s="59"/>
    <row r="895" ht="15.75" customHeight="1" s="59"/>
    <row r="896" ht="15.75" customHeight="1" s="59"/>
    <row r="897" ht="15.75" customHeight="1" s="59"/>
    <row r="898" ht="15.75" customHeight="1" s="59"/>
    <row r="899" ht="15.75" customHeight="1" s="59"/>
    <row r="900" ht="15.75" customHeight="1" s="59"/>
    <row r="901" ht="15.75" customHeight="1" s="59"/>
    <row r="902" ht="15.75" customHeight="1" s="59"/>
    <row r="903" ht="15.75" customHeight="1" s="59"/>
    <row r="904" ht="15.75" customHeight="1" s="59"/>
    <row r="905" ht="15.75" customHeight="1" s="59"/>
    <row r="906" ht="15.75" customHeight="1" s="59"/>
    <row r="907" ht="15.75" customHeight="1" s="59"/>
    <row r="908" ht="15.75" customHeight="1" s="59"/>
    <row r="909" ht="15.75" customHeight="1" s="59"/>
    <row r="910" ht="15.75" customHeight="1" s="59"/>
    <row r="911" ht="15.75" customHeight="1" s="59"/>
    <row r="912" ht="15.75" customHeight="1" s="59"/>
    <row r="913" ht="15.75" customHeight="1" s="59"/>
    <row r="914" ht="15.75" customHeight="1" s="59"/>
    <row r="915" ht="15.75" customHeight="1" s="59"/>
    <row r="916" ht="15.75" customHeight="1" s="59"/>
    <row r="917" ht="15.75" customHeight="1" s="59"/>
    <row r="918" ht="15.75" customHeight="1" s="59"/>
    <row r="919" ht="15.75" customHeight="1" s="59"/>
    <row r="920" ht="15.75" customHeight="1" s="59"/>
    <row r="921" ht="15.75" customHeight="1" s="59"/>
    <row r="922" ht="15.75" customHeight="1" s="59"/>
    <row r="923" ht="15.75" customHeight="1" s="59"/>
    <row r="924" ht="15.75" customHeight="1" s="59"/>
    <row r="925" ht="15.75" customHeight="1" s="59"/>
    <row r="926" ht="15.75" customHeight="1" s="59"/>
    <row r="927" ht="15.75" customHeight="1" s="59"/>
    <row r="928" ht="15.75" customHeight="1" s="59"/>
    <row r="929" ht="15.75" customHeight="1" s="59"/>
    <row r="930" ht="15.75" customHeight="1" s="59"/>
    <row r="931" ht="15.75" customHeight="1" s="59"/>
    <row r="932" ht="15.75" customHeight="1" s="59"/>
    <row r="933" ht="15.75" customHeight="1" s="59"/>
    <row r="934" ht="15.75" customHeight="1" s="59"/>
    <row r="935" ht="15.75" customHeight="1" s="59"/>
    <row r="936" ht="15.75" customHeight="1" s="59"/>
    <row r="937" ht="15.75" customHeight="1" s="59"/>
    <row r="938" ht="15.75" customHeight="1" s="59"/>
    <row r="939" ht="15.75" customHeight="1" s="59"/>
    <row r="940" ht="15.75" customHeight="1" s="59"/>
    <row r="941" ht="15.75" customHeight="1" s="59"/>
    <row r="942" ht="15.75" customHeight="1" s="59"/>
    <row r="943" ht="15.75" customHeight="1" s="59"/>
    <row r="944" ht="15.75" customHeight="1" s="59"/>
    <row r="945" ht="15.75" customHeight="1" s="59"/>
    <row r="946" ht="15.75" customHeight="1" s="59"/>
    <row r="947" ht="15.75" customHeight="1" s="59"/>
    <row r="948" ht="15.75" customHeight="1" s="59"/>
    <row r="949" ht="15.75" customHeight="1" s="59"/>
    <row r="950" ht="15.75" customHeight="1" s="59"/>
    <row r="951" ht="15.75" customHeight="1" s="59"/>
    <row r="952" ht="15.75" customHeight="1" s="59"/>
    <row r="953" ht="15.75" customHeight="1" s="59"/>
    <row r="954" ht="15.75" customHeight="1" s="59"/>
    <row r="955" ht="15.75" customHeight="1" s="59"/>
    <row r="956" ht="15.75" customHeight="1" s="59"/>
    <row r="957" ht="15.75" customHeight="1" s="59"/>
    <row r="958" ht="15.75" customHeight="1" s="59"/>
    <row r="959" ht="15.75" customHeight="1" s="59"/>
    <row r="960" ht="15.75" customHeight="1" s="59"/>
    <row r="961" ht="15.75" customHeight="1" s="59"/>
    <row r="962" ht="15.75" customHeight="1" s="59"/>
    <row r="963" ht="15.75" customHeight="1" s="59"/>
    <row r="964" ht="15.75" customHeight="1" s="59"/>
    <row r="965" ht="15.75" customHeight="1" s="59"/>
    <row r="966" ht="15.75" customHeight="1" s="59"/>
    <row r="967" ht="15.75" customHeight="1" s="59"/>
    <row r="968" ht="15.75" customHeight="1" s="59"/>
    <row r="969" ht="15.75" customHeight="1" s="59"/>
    <row r="970" ht="15.75" customHeight="1" s="59"/>
    <row r="971" ht="15.75" customHeight="1" s="59"/>
    <row r="972" ht="15.75" customHeight="1" s="59"/>
    <row r="973" ht="15.75" customHeight="1" s="59"/>
    <row r="974" ht="15.75" customHeight="1" s="59"/>
    <row r="975" ht="15.75" customHeight="1" s="59"/>
    <row r="976" ht="15.75" customHeight="1" s="59"/>
    <row r="977" ht="15.75" customHeight="1" s="59"/>
    <row r="978" ht="15.75" customHeight="1" s="59"/>
    <row r="979" ht="15.75" customHeight="1" s="59"/>
    <row r="980" ht="15.75" customHeight="1" s="59"/>
    <row r="981" ht="15.75" customHeight="1" s="59"/>
    <row r="982" ht="15.75" customHeight="1" s="59"/>
    <row r="983" ht="15.75" customHeight="1" s="59"/>
    <row r="984" ht="15.75" customHeight="1" s="59"/>
    <row r="985" ht="15.75" customHeight="1" s="59"/>
    <row r="986" ht="15.75" customHeight="1" s="59"/>
    <row r="987" ht="15.75" customHeight="1" s="59"/>
    <row r="988" ht="15.75" customHeight="1" s="59"/>
    <row r="989" ht="15.75" customHeight="1" s="59"/>
    <row r="990" ht="15.75" customHeight="1" s="59"/>
    <row r="991" ht="15.75" customHeight="1" s="59"/>
    <row r="992" ht="15.75" customHeight="1" s="59"/>
    <row r="993" ht="15.75" customHeight="1" s="59"/>
    <row r="994" ht="15.75" customHeight="1" s="59"/>
    <row r="995" ht="15.75" customHeight="1" s="59"/>
  </sheetData>
  <mergeCells count="68">
    <mergeCell ref="D2:F2"/>
    <mergeCell ref="J39:K39"/>
    <mergeCell ref="B9:E9"/>
    <mergeCell ref="D35:H35"/>
    <mergeCell ref="A30:K30"/>
    <mergeCell ref="G2:H2"/>
    <mergeCell ref="D34:H34"/>
    <mergeCell ref="J38:K38"/>
    <mergeCell ref="B6:E6"/>
    <mergeCell ref="J37:K37"/>
    <mergeCell ref="A3:C3"/>
    <mergeCell ref="B15:E15"/>
    <mergeCell ref="B24:E24"/>
    <mergeCell ref="A36:B36"/>
    <mergeCell ref="B20:E20"/>
    <mergeCell ref="I3:K3"/>
    <mergeCell ref="D46:H46"/>
    <mergeCell ref="A1:K1"/>
    <mergeCell ref="D36:H36"/>
    <mergeCell ref="A2:C2"/>
    <mergeCell ref="J28:K28"/>
    <mergeCell ref="D45:H45"/>
    <mergeCell ref="B26:E26"/>
    <mergeCell ref="J34:K34"/>
    <mergeCell ref="A5:C5"/>
    <mergeCell ref="A42:I42"/>
    <mergeCell ref="A32:I32"/>
    <mergeCell ref="I5:K5"/>
    <mergeCell ref="D4:F4"/>
    <mergeCell ref="D49:H49"/>
    <mergeCell ref="B16:E16"/>
    <mergeCell ref="D3:F3"/>
    <mergeCell ref="B7:E7"/>
    <mergeCell ref="B25:E25"/>
    <mergeCell ref="I4:K4"/>
    <mergeCell ref="A4:C4"/>
    <mergeCell ref="J36:K36"/>
    <mergeCell ref="G3:H3"/>
    <mergeCell ref="D48:H48"/>
    <mergeCell ref="B22:E22"/>
    <mergeCell ref="B31:E31"/>
    <mergeCell ref="J35:K35"/>
    <mergeCell ref="B27:E27"/>
    <mergeCell ref="B18:E18"/>
    <mergeCell ref="D47:H47"/>
    <mergeCell ref="D5:F5"/>
    <mergeCell ref="A28:I28"/>
    <mergeCell ref="B41:D41"/>
    <mergeCell ref="B12:E12"/>
    <mergeCell ref="J32:K32"/>
    <mergeCell ref="B21:E21"/>
    <mergeCell ref="G5:H5"/>
    <mergeCell ref="D37:H37"/>
    <mergeCell ref="B11:E11"/>
    <mergeCell ref="B14:E14"/>
    <mergeCell ref="G4:H4"/>
    <mergeCell ref="A38:B38"/>
    <mergeCell ref="B23:E23"/>
    <mergeCell ref="I2:K2"/>
    <mergeCell ref="B17:E17"/>
    <mergeCell ref="B8:E8"/>
    <mergeCell ref="D39:H39"/>
    <mergeCell ref="B13:E13"/>
    <mergeCell ref="D38:H38"/>
    <mergeCell ref="B19:E19"/>
    <mergeCell ref="B10:E10"/>
    <mergeCell ref="A34:B34"/>
    <mergeCell ref="D44:H44"/>
  </mergeCells>
  <hyperlinks>
    <hyperlink xmlns:r="http://schemas.openxmlformats.org/officeDocument/2006/relationships" ref="K7" r:id="rId1"/>
    <hyperlink xmlns:r="http://schemas.openxmlformats.org/officeDocument/2006/relationships" ref="K8" r:id="rId2"/>
    <hyperlink xmlns:r="http://schemas.openxmlformats.org/officeDocument/2006/relationships" ref="K9" r:id="rId3"/>
    <hyperlink xmlns:r="http://schemas.openxmlformats.org/officeDocument/2006/relationships" ref="K11" r:id="rId4"/>
    <hyperlink xmlns:r="http://schemas.openxmlformats.org/officeDocument/2006/relationships" ref="K12" r:id="rId5"/>
    <hyperlink xmlns:r="http://schemas.openxmlformats.org/officeDocument/2006/relationships" ref="K13" r:id="rId6"/>
    <hyperlink xmlns:r="http://schemas.openxmlformats.org/officeDocument/2006/relationships" ref="K15" r:id="rId7"/>
    <hyperlink xmlns:r="http://schemas.openxmlformats.org/officeDocument/2006/relationships" ref="K31" r:id="rId8"/>
  </hyperlinks>
  <pageMargins left="0.7" right="0.7" top="0.75" bottom="0.75" header="0" footer="0"/>
  <pageSetup orientation="portrait" paperSize="9" scale="80" fitToHeight="0" fitToWidth="1"/>
  <drawing xmlns:r="http://schemas.openxmlformats.org/officeDocument/2006/relationships" r:id="rId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Moorche</dc:creator>
  <dcterms:created xmlns:dcterms="http://purl.org/dc/terms/" xmlns:xsi="http://www.w3.org/2001/XMLSchema-instance" xsi:type="dcterms:W3CDTF">2024-11-18T02:59:14Z</dcterms:created>
  <dcterms:modified xmlns:dcterms="http://purl.org/dc/terms/" xmlns:xsi="http://www.w3.org/2001/XMLSchema-instance" xsi:type="dcterms:W3CDTF">2026-10-05T05:03:58Z</dcterms:modified>
</cp:coreProperties>
</file>